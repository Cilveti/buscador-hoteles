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134f25885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es" sheetId="1" r:id="Rb62ba16f65b0425d"/>
    <x:sheet xmlns:r="http://schemas.openxmlformats.org/officeDocument/2006/relationships" name="Configuración" sheetId="2" r:id="R348b3a6a3e07486e"/>
    <x:sheet xmlns:r="http://schemas.openxmlformats.org/officeDocument/2006/relationships" name="Cálculo" sheetId="3" r:id="R26c0b21f07454c47"/>
    <x:sheet xmlns:r="http://schemas.openxmlformats.org/officeDocument/2006/relationships" name="Tokens" sheetId="4" r:id="Rf728fb69414a4b59"/>
    <x:sheet xmlns:r="http://schemas.openxmlformats.org/officeDocument/2006/relationships" name="Tarifas" sheetId="5" r:id="Ra9914c6074af4e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@"/>
    <x:numFmt numFmtId="202" formatCode="#,##0"/>
    <x:numFmt numFmtId="203" formatCode="0.0%"/>
    <x:numFmt numFmtId="204" formatCode="0"/>
    <x:numFmt numFmtId="205" formatCode="0.000"/>
    <x:numFmt numFmtId="206" formatCode="#,##0.0"/>
    <x:numFmt numFmtId="207" formatCode="&quot;$&quot;0.000000;(&quot;$&quot;0.000000);&quot;$&quot;0.000000"/>
    <x:numFmt numFmtId="208" formatCode="&quot;$&quot;#,##0.00;(&quot;$&quot;#,##0.00);&quot;$&quot;0.00"/>
  </x:numFmts>
  <x:fonts count="7">
    <x:font>
      <x:sz val="11"/>
      <x:name val="Carlito"/>
    </x:font>
    <x:font>
      <x:sz val="10"/>
      <x:color rgb="FF182B3A"/>
      <x:name val="Arial"/>
    </x:font>
    <x:font>
      <x:b/>
      <x:sz val="16"/>
      <x:color rgb="FF19324D"/>
      <x:name val="Arial"/>
    </x:font>
    <x:font>
      <x:sz val="10"/>
      <x:color rgb="FF1756A0"/>
      <x:name val="Arial"/>
    </x:font>
    <x:font>
      <x:b/>
      <x:sz val="10"/>
      <x:color rgb="FFFFFFFF"/>
      <x:name val="Arial"/>
    </x:font>
    <x:font>
      <x:sz val="10"/>
      <x:color rgb="FF267443"/>
      <x:name val="Arial"/>
    </x:font>
    <x:font>
      <x:b/>
      <x:sz val="10"/>
      <x:color rgb="FF182B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19324D"/>
      </x:patternFill>
    </x:fill>
    <x:fill>
      <x:patternFill patternType="solid">
        <x:fgColor rgb="FFF0F4F7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93A7B7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4" borderId="0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 applyAlignment="1">
      <x:alignment vertical="center"/>
    </x:xf>
    <x:xf numFmtId="206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7" fontId="1" fillId="4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7" fontId="5" fillId="4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1" fillId="4" borderId="0" xfId="0" applyNumberFormat="1" applyFont="1" applyFill="1" applyBorder="1" applyAlignment="1">
      <x:alignment vertical="center"/>
    </x:xf>
    <x:xf numFmtId="208" fontId="6" fillId="0" borderId="0" xfId="0" applyNumberFormat="1" applyFont="1" applyFill="1" applyBorder="1" applyAlignment="1">
      <x:alignment vertical="center"/>
    </x:xf>
    <x:xf numFmtId="208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168c3b4b3415c" /><Relationship Type="http://schemas.openxmlformats.org/officeDocument/2006/relationships/theme" Target="/xl/theme/theme1.xml" Id="R61dd3e07f0cf4412" /><Relationship Type="http://schemas.openxmlformats.org/officeDocument/2006/relationships/sharedStrings" Target="/xl/sharedStrings.xml" Id="R698e2537d382403a" /><Relationship Type="http://schemas.openxmlformats.org/officeDocument/2006/relationships/worksheet" Target="/xl/worksheets/sheet1.xml" Id="Rb62ba16f65b0425d" /><Relationship Type="http://schemas.openxmlformats.org/officeDocument/2006/relationships/worksheet" Target="/xl/worksheets/sheet2.xml" Id="R348b3a6a3e07486e" /><Relationship Type="http://schemas.openxmlformats.org/officeDocument/2006/relationships/worksheet" Target="/xl/worksheets/sheet3.xml" Id="R26c0b21f07454c47" /><Relationship Type="http://schemas.openxmlformats.org/officeDocument/2006/relationships/worksheet" Target="/xl/worksheets/sheet4.xml" Id="Rf728fb69414a4b59" /><Relationship Type="http://schemas.openxmlformats.org/officeDocument/2006/relationships/worksheet" Target="/xl/worksheets/sheet5.xml" Id="Ra9914c6074af4e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Coste de la búsqueda agéntica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 t="str">
        <x:v>Consultas del periodo</x:v>
      </x:c>
      <x:c r="B4" s="29" t="n">
        <x:f>'Configuración'!B4</x:f>
        <x:v>10000</x:v>
      </x:c>
      <x:c r="C4" s="2"/>
      <x:c r="D4" s="2" t="str">
        <x:v>Modelo por etapa: misma fila</x:v>
      </x:c>
      <x:c r="E4" s="2"/>
      <x:c r="F4" s="2"/>
      <x:c r="G4" s="2" t="str">
        <x:v>USD / búsqueda y USD / periodo</x:v>
      </x:c>
      <x:c r="H4" s="2"/>
      <x:c r="I4" s="2"/>
      <x:c r="J4" s="2"/>
    </x:row>
    <x:row r="5" ht="23" customHeight="1">
      <x:c r="A5" s="2" t="str">
        <x:v>Filtros manuales y SQL: 0 tokens LLM. Su infraestructura no está incluida.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 t="str">
        <x:v>Carga común a todos los modelos; comparación de precio, sin asumir calidad equivalente. Cambia los supuestos en Configuración.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23" customHeight="1">
      <x:c r="A7" s="2" t="str">
        <x:f>"Carga: "&amp;'Configuración'!B5</x:f>
        <x:v>Carga: traveler-50-flash-v3-20260911</x:v>
      </x:c>
      <x:c r="B7" s="2"/>
      <x:c r="C7" s="2"/>
      <x:c r="D7" s="2"/>
      <x:c r="E7" s="2" t="str">
        <x:v>Bandas y totales del periodo: motivos IA (columna E).</x:v>
      </x:c>
      <x:c r="F7" s="2"/>
      <x:c r="G7" s="2"/>
      <x:c r="H7" s="2"/>
      <x:c r="I7" s="2"/>
      <x:c r="J7" s="2"/>
    </x:row>
    <x:row r="8" ht="46" customHeight="1">
      <x:c r="A8" s="15" t="str">
        <x:v>Modelo / tarifa</x:v>
      </x:c>
      <x:c r="B8" s="15" t="str">
        <x:v>Filtros por texto</x:v>
      </x:c>
      <x:c r="C8" s="15" t="str">
        <x:v>Semántica fija¹</x:v>
      </x:c>
      <x:c r="D8" s="15" t="str">
        <x:v>Agente + plantilla
+ juez</x:v>
      </x:c>
      <x:c r="E8" s="15" t="str">
        <x:v>Agente + motivos IA
+ juez</x:v>
      </x:c>
      <x:c r="F8" s="15" t="str">
        <x:v>Banda baja
por búsqueda</x:v>
      </x:c>
      <x:c r="G8" s="15" t="str">
        <x:v>Banda alta
por búsqueda</x:v>
      </x:c>
      <x:c r="H8" s="15" t="str">
        <x:v>Total periodo
media</x:v>
      </x:c>
      <x:c r="I8" s="15" t="str">
        <x:v>Total periodo
baja</x:v>
      </x:c>
      <x:c r="J8" s="15" t="str">
        <x:v>Total periodo
alta</x:v>
      </x:c>
    </x:row>
    <x:row r="9" ht="23" customHeight="1">
      <x:c r="A9" s="2" t="str">
        <x:v>Gemini 3.1 Flash-Lite</x:v>
      </x:c>
      <x:c r="B9" s="28" t="n">
        <x:f>'Cálculo'!C8</x:f>
        <x:v>0.0023418249999999996</x:v>
      </x:c>
      <x:c r="C9" s="28" t="n">
        <x:f>SUM('Cálculo'!C8:D8)</x:f>
        <x:v>0.0023428249999999998</x:v>
      </x:c>
      <x:c r="D9" s="28" t="n">
        <x:f>'Cálculo'!I8</x:f>
        <x:v>0.015449364999999998</x:v>
      </x:c>
      <x:c r="E9" s="28" t="n">
        <x:f>'Cálculo'!J8</x:f>
        <x:v>0.019868294999999998</x:v>
      </x:c>
      <x:c r="F9" s="28" t="n">
        <x:f>'Cálculo'!J7</x:f>
        <x:v>0.0072427</x:v>
      </x:c>
      <x:c r="G9" s="28" t="n">
        <x:f>'Cálculo'!J9</x:f>
        <x:v>0.05113757500000002</x:v>
      </x:c>
      <x:c r="H9" s="35" t="n">
        <x:f>E9*$B$4</x:f>
        <x:v>198.68294999999998</x:v>
      </x:c>
      <x:c r="I9" s="33" t="n">
        <x:f>F9*$B$4</x:f>
        <x:v>72.427</x:v>
      </x:c>
      <x:c r="J9" s="33" t="n">
        <x:f>G9*$B$4</x:f>
        <x:v>511.3757500000002</x:v>
      </x:c>
    </x:row>
    <x:row r="10" ht="23" customHeight="1">
      <x:c r="A10" s="16" t="str">
        <x:v>Gemini 3.5 Flash-Lite</x:v>
      </x:c>
      <x:c r="B10" s="30" t="n">
        <x:f>'Cálculo'!C11</x:f>
        <x:v>0.002956252</x:v>
      </x:c>
      <x:c r="C10" s="30" t="n">
        <x:f>SUM('Cálculo'!C11:D11)</x:f>
        <x:v>0.002957252</x:v>
      </x:c>
      <x:c r="D10" s="30" t="n">
        <x:f>'Cálculo'!I11</x:f>
        <x:v>0.01933372</x:v>
      </x:c>
      <x:c r="E10" s="30" t="n">
        <x:f>'Cálculo'!J11</x:f>
        <x:v>0.025084856000000003</x:v>
      </x:c>
      <x:c r="F10" s="30" t="n">
        <x:f>'Cálculo'!J10</x:f>
        <x:v>0.009001559999999999</x:v>
      </x:c>
      <x:c r="G10" s="30" t="n">
        <x:f>'Cálculo'!J12</x:f>
        <x:v>0.06428095000000002</x:v>
      </x:c>
      <x:c r="H10" s="36" t="n">
        <x:f>E10*$B$4</x:f>
        <x:v>250.84856000000002</x:v>
      </x:c>
      <x:c r="I10" s="34" t="n">
        <x:f>F10*$B$4</x:f>
        <x:v>90.01559999999999</x:v>
      </x:c>
      <x:c r="J10" s="34" t="n">
        <x:f>G10*$B$4</x:f>
        <x:v>642.8095000000002</x:v>
      </x:c>
    </x:row>
    <x:row r="11" ht="23" customHeight="1">
      <x:c r="A11" s="2" t="str">
        <x:v>Gemini 3.8 Flash (2026)</x:v>
      </x:c>
      <x:c r="B11" s="28" t="n">
        <x:f>'Cálculo'!C14</x:f>
        <x:v>0.00686898</x:v>
      </x:c>
      <x:c r="C11" s="28" t="n">
        <x:f>SUM('Cálculo'!C14:D14)</x:f>
        <x:v>0.00686998</x:v>
      </x:c>
      <x:c r="D11" s="28" t="n">
        <x:f>'Cálculo'!I14</x:f>
        <x:v>0.04549465</x:v>
      </x:c>
      <x:c r="E11" s="28" t="n">
        <x:f>'Cálculo'!J14</x:f>
        <x:v>0.058270989999999995</x:v>
      </x:c>
      <x:c r="F11" s="28" t="n">
        <x:f>'Cálculo'!J13</x:f>
        <x:v>0.0213934</x:v>
      </x:c>
      <x:c r="G11" s="28" t="n">
        <x:f>'Cálculo'!J15</x:f>
        <x:v>0.15028637500000006</x:v>
      </x:c>
      <x:c r="H11" s="35" t="n">
        <x:f>E11*$B$4</x:f>
        <x:v>582.7099</x:v>
      </x:c>
      <x:c r="I11" s="33" t="n">
        <x:f>F11*$B$4</x:f>
        <x:v>213.934</x:v>
      </x:c>
      <x:c r="J11" s="33" t="n">
        <x:f>G11*$B$4</x:f>
        <x:v>1502.8637500000007</x:v>
      </x:c>
    </x:row>
    <x:row r="12" ht="23" customHeight="1">
      <x:c r="A12" s="16" t="str">
        <x:v>Gemini 3.8 Flash (2027)</x:v>
      </x:c>
      <x:c r="B12" s="30" t="n">
        <x:f>'Cálculo'!C17</x:f>
        <x:v>0.01373796</x:v>
      </x:c>
      <x:c r="C12" s="30" t="n">
        <x:f>SUM('Cálculo'!C17:D17)</x:f>
        <x:v>0.01373896</x:v>
      </x:c>
      <x:c r="D12" s="30" t="n">
        <x:f>'Cálculo'!I17</x:f>
        <x:v>0.0909883</x:v>
      </x:c>
      <x:c r="E12" s="30" t="n">
        <x:f>'Cálculo'!J17</x:f>
        <x:v>0.11654097999999999</x:v>
      </x:c>
      <x:c r="F12" s="30" t="n">
        <x:f>'Cálculo'!J16</x:f>
        <x:v>0.0427858</x:v>
      </x:c>
      <x:c r="G12" s="30" t="n">
        <x:f>'Cálculo'!J18</x:f>
        <x:v>0.30057175000000014</x:v>
      </x:c>
      <x:c r="H12" s="36" t="n">
        <x:f>E12*$B$4</x:f>
        <x:v>1165.4098</x:v>
      </x:c>
      <x:c r="I12" s="34" t="n">
        <x:f>F12*$B$4</x:f>
        <x:v>427.858</x:v>
      </x:c>
      <x:c r="J12" s="34" t="n">
        <x:f>G12*$B$4</x:f>
        <x:v>3005.7175000000016</x:v>
      </x:c>
    </x:row>
    <x:row r="13" ht="23" customHeight="1">
      <x:c r="A13" s="2" t="str">
        <x:v>GPT-5.6 Luna</x:v>
      </x:c>
      <x:c r="B13" s="28" t="n">
        <x:f>'Cálculo'!C20</x:f>
        <x:v>0.0018734600000000002</x:v>
      </x:c>
      <x:c r="C13" s="28" t="n">
        <x:f>SUM('Cálculo'!C20:D20)</x:f>
        <x:v>0.00187446</x:v>
      </x:c>
      <x:c r="D13" s="28" t="n">
        <x:f>'Cálculo'!I20</x:f>
        <x:v>0.012359692</x:v>
      </x:c>
      <x:c r="E13" s="28" t="n">
        <x:f>'Cálculo'!J20</x:f>
        <x:v>0.015894836</x:v>
      </x:c>
      <x:c r="F13" s="28" t="n">
        <x:f>'Cálculo'!J19</x:f>
        <x:v>0.00579436</x:v>
      </x:c>
      <x:c r="G13" s="28" t="n">
        <x:f>'Cálculo'!J21</x:f>
        <x:v>0.040910260000000025</x:v>
      </x:c>
      <x:c r="H13" s="35" t="n">
        <x:f>E13*$B$4</x:f>
        <x:v>158.94835999999998</x:v>
      </x:c>
      <x:c r="I13" s="33" t="n">
        <x:f>F13*$B$4</x:f>
        <x:v>57.9436</x:v>
      </x:c>
      <x:c r="J13" s="33" t="n">
        <x:f>G13*$B$4</x:f>
        <x:v>409.1026000000002</x:v>
      </x:c>
    </x:row>
    <x:row r="14" ht="23" customHeight="1">
      <x:c r="A14" s="16" t="str">
        <x:v>GPT-5.4 mini</x:v>
      </x:c>
      <x:c r="B14" s="30" t="n">
        <x:f>'Cálculo'!C23</x:f>
        <x:v>0.007025475000000001</x:v>
      </x:c>
      <x:c r="C14" s="30" t="n">
        <x:f>SUM('Cálculo'!C23:D23)</x:f>
        <x:v>0.007026475000000001</x:v>
      </x:c>
      <x:c r="D14" s="30" t="n">
        <x:f>'Cálculo'!I23</x:f>
        <x:v>0.046346095</x:v>
      </x:c>
      <x:c r="E14" s="30" t="n">
        <x:f>'Cálculo'!J23</x:f>
        <x:v>0.05960288500000001</x:v>
      </x:c>
      <x:c r="F14" s="30" t="n">
        <x:f>'Cálculo'!J22</x:f>
        <x:v>0.0217261</x:v>
      </x:c>
      <x:c r="G14" s="30" t="n">
        <x:f>'Cálculo'!J24</x:f>
        <x:v>0.15341072500000008</x:v>
      </x:c>
      <x:c r="H14" s="36" t="n">
        <x:f>E14*$B$4</x:f>
        <x:v>596.02885</x:v>
      </x:c>
      <x:c r="I14" s="34" t="n">
        <x:f>F14*$B$4</x:f>
        <x:v>217.26100000000002</x:v>
      </x:c>
      <x:c r="J14" s="34" t="n">
        <x:f>G14*$B$4</x:f>
        <x:v>1534.1072500000007</x:v>
      </x:c>
    </x:row>
    <x:row r="15" ht="23" customHeight="1">
      <x:c r="A15" s="2" t="str">
        <x:v>GPT-5.6 Terra</x:v>
      </x:c>
      <x:c r="B15" s="28" t="n">
        <x:f>'Cálculo'!C26</x:f>
        <x:v>0.018734599999999997</x:v>
      </x:c>
      <x:c r="C15" s="28" t="n">
        <x:f>SUM('Cálculo'!C26:D26)</x:f>
        <x:v>0.018735599999999998</x:v>
      </x:c>
      <x:c r="D15" s="28" t="n">
        <x:f>'Cálculo'!I26</x:f>
        <x:v>0.12358791999999998</x:v>
      </x:c>
      <x:c r="E15" s="28" t="n">
        <x:f>'Cálculo'!J26</x:f>
        <x:v>0.15893935999999997</x:v>
      </x:c>
      <x:c r="F15" s="28" t="n">
        <x:f>'Cálculo'!J25</x:f>
        <x:v>0.057934599999999996</x:v>
      </x:c>
      <x:c r="G15" s="28" t="n">
        <x:f>'Cálculo'!J27</x:f>
        <x:v>0.4090936000000001</x:v>
      </x:c>
      <x:c r="H15" s="35" t="n">
        <x:f>E15*$B$4</x:f>
        <x:v>1589.3935999999997</x:v>
      </x:c>
      <x:c r="I15" s="33" t="n">
        <x:f>F15*$B$4</x:f>
        <x:v>579.346</x:v>
      </x:c>
      <x:c r="J15" s="33" t="n">
        <x:f>G15*$B$4</x:f>
        <x:v>4090.936000000001</x:v>
      </x:c>
    </x:row>
    <x:row r="16" ht="23" customHeight="1">
      <x:c r="A16" s="16" t="str">
        <x:v>Claude Haiku 4.5</x:v>
      </x:c>
      <x:c r="B16" s="30" t="n">
        <x:f>'Cálculo'!C29</x:f>
        <x:v>0.00915864</x:v>
      </x:c>
      <x:c r="C16" s="30" t="n">
        <x:f>SUM('Cálculo'!C29:D29)</x:f>
        <x:v>0.009159639999999998</x:v>
      </x:c>
      <x:c r="D16" s="30" t="n">
        <x:f>'Cálculo'!I29</x:f>
        <x:v>0.06065919999999999</x:v>
      </x:c>
      <x:c r="E16" s="30" t="n">
        <x:f>'Cálculo'!J29</x:f>
        <x:v>0.07769432</x:v>
      </x:c>
      <x:c r="F16" s="30" t="n">
        <x:f>'Cálculo'!J28</x:f>
        <x:v>0.028524199999999996</x:v>
      </x:c>
      <x:c r="G16" s="30" t="n">
        <x:f>'Cálculo'!J30</x:f>
        <x:v>0.20038150000000007</x:v>
      </x:c>
      <x:c r="H16" s="36" t="n">
        <x:f>E16*$B$4</x:f>
        <x:v>776.9431999999999</x:v>
      </x:c>
      <x:c r="I16" s="34" t="n">
        <x:f>F16*$B$4</x:f>
        <x:v>285.24199999999996</x:v>
      </x:c>
      <x:c r="J16" s="34" t="n">
        <x:f>G16*$B$4</x:f>
        <x:v>2003.8150000000007</x:v>
      </x:c>
    </x:row>
    <x:row r="17" ht="23" customHeight="1">
      <x:c r="A17" s="2" t="str">
        <x:v>Claude Sonnet 5</x:v>
      </x:c>
      <x:c r="B17" s="28" t="n">
        <x:f>'Cálculo'!C32</x:f>
        <x:v>0.01831728</x:v>
      </x:c>
      <x:c r="C17" s="28" t="n">
        <x:f>SUM('Cálculo'!C32:D32)</x:f>
        <x:v>0.01831828</x:v>
      </x:c>
      <x:c r="D17" s="28" t="n">
        <x:f>'Cálculo'!I32</x:f>
        <x:v>0.12131739999999998</x:v>
      </x:c>
      <x:c r="E17" s="28" t="n">
        <x:f>'Cálculo'!J32</x:f>
        <x:v>0.15538764</x:v>
      </x:c>
      <x:c r="F17" s="28" t="n">
        <x:f>'Cálculo'!J31</x:f>
        <x:v>0.0570474</x:v>
      </x:c>
      <x:c r="G17" s="28" t="n">
        <x:f>'Cálculo'!J33</x:f>
        <x:v>0.4007620000000001</x:v>
      </x:c>
      <x:c r="H17" s="35" t="n">
        <x:f>E17*$B$4</x:f>
        <x:v>1553.8763999999999</x:v>
      </x:c>
      <x:c r="I17" s="33" t="n">
        <x:f>F17*$B$4</x:f>
        <x:v>570.4739999999999</x:v>
      </x:c>
      <x:c r="J17" s="33" t="n">
        <x:f>G17*$B$4</x:f>
        <x:v>4007.6200000000013</x:v>
      </x:c>
    </x:row>
    <x:row r="18" ht="23" customHeight="1">
      <x:c r="A18" s="16" t="str">
        <x:v>DeepSeek Flash (punta)</x:v>
      </x:c>
      <x:c r="B18" s="30" t="n">
        <x:f>'Cálculo'!C35</x:f>
        <x:v>0.0026849939999999996</x:v>
      </x:c>
      <x:c r="C18" s="30" t="n">
        <x:f>SUM('Cálculo'!C35:D35)</x:f>
        <x:v>0.0026859939999999997</x:v>
      </x:c>
      <x:c r="D18" s="30" t="n">
        <x:f>'Cálculo'!I35</x:f>
        <x:v>0.017857882</x:v>
      </x:c>
      <x:c r="E18" s="30" t="n">
        <x:f>'Cálculo'!J35</x:f>
        <x:v>0.022776237999999997</x:v>
      </x:c>
      <x:c r="F18" s="30" t="n">
        <x:f>'Cálculo'!J34</x:f>
        <x:v>0.008424879999999997</x:v>
      </x:c>
      <x:c r="G18" s="30" t="n">
        <x:f>'Cálculo'!J36</x:f>
        <x:v>0.05886541000000002</x:v>
      </x:c>
      <x:c r="H18" s="36" t="n">
        <x:f>E18*$B$4</x:f>
        <x:v>227.76237999999998</x:v>
      </x:c>
      <x:c r="I18" s="34" t="n">
        <x:f>F18*$B$4</x:f>
        <x:v>84.24879999999997</x:v>
      </x:c>
      <x:c r="J18" s="34" t="n">
        <x:f>G18*$B$4</x:f>
        <x:v>588.6541000000002</x:v>
      </x:c>
    </x:row>
    <x:row r="19" ht="23" customHeight="1">
      <x:c r="A19" s="2" t="str">
        <x:v>DeepSeek Flash (valle)</x:v>
      </x:c>
      <x:c r="B19" s="28" t="n">
        <x:f>'Cálculo'!C38</x:f>
        <x:v>0.0013424969999999998</x:v>
      </x:c>
      <x:c r="C19" s="28" t="n">
        <x:f>SUM('Cálculo'!C38:D38)</x:f>
        <x:v>0.0013434969999999997</x:v>
      </x:c>
      <x:c r="D19" s="28" t="n">
        <x:f>'Cálculo'!I38</x:f>
        <x:v>0.008929441</x:v>
      </x:c>
      <x:c r="E19" s="28" t="n">
        <x:f>'Cálculo'!J38</x:f>
        <x:v>0.011388618999999997</x:v>
      </x:c>
      <x:c r="F19" s="28" t="n">
        <x:f>'Cálculo'!J37</x:f>
        <x:v>0.004212939999999999</x:v>
      </x:c>
      <x:c r="G19" s="28" t="n">
        <x:f>'Cálculo'!J39</x:f>
        <x:v>0.02943320500000001</x:v>
      </x:c>
      <x:c r="H19" s="35" t="n">
        <x:f>E19*$B$4</x:f>
        <x:v>113.88618999999997</x:v>
      </x:c>
      <x:c r="I19" s="33" t="n">
        <x:f>F19*$B$4</x:f>
        <x:v>42.12939999999999</x:v>
      </x:c>
      <x:c r="J19" s="33" t="n">
        <x:f>G19*$B$4</x:f>
        <x:v>294.3320500000001</x:v>
      </x:c>
    </x:row>
    <x:row r="20" ht="23" customHeight="1">
      <x:c r="A20" s="16" t="str">
        <x:v>GLM-4.7-FlashX</x:v>
      </x:c>
      <x:c r="B20" s="30" t="n">
        <x:f>'Cálculo'!C41</x:f>
        <x:v>0.0006515378</x:v>
      </x:c>
      <x:c r="C20" s="30" t="n">
        <x:f>SUM('Cálculo'!C41:D41)</x:f>
        <x:v>0.0006525378000000001</x:v>
      </x:c>
      <x:c r="D20" s="30" t="n">
        <x:f>'Cálculo'!I41</x:f>
        <x:v>0.0043038370000000005</x:v>
      </x:c>
      <x:c r="E20" s="30" t="n">
        <x:f>'Cálculo'!J41</x:f>
        <x:v>0.005528325400000001</x:v>
      </x:c>
      <x:c r="F20" s="30" t="n">
        <x:f>'Cálculo'!J40</x:f>
        <x:v>0.002019804</x:v>
      </x:c>
      <x:c r="G20" s="30" t="n">
        <x:f>'Cálculo'!J42</x:f>
        <x:v>0.014235925000000007</x:v>
      </x:c>
      <x:c r="H20" s="36" t="n">
        <x:f>E20*$B$4</x:f>
        <x:v>55.28325400000001</x:v>
      </x:c>
      <x:c r="I20" s="34" t="n">
        <x:f>F20*$B$4</x:f>
        <x:v>20.19804</x:v>
      </x:c>
      <x:c r="J20" s="34" t="n">
        <x:f>G20*$B$4</x:f>
        <x:v>142.35925000000006</x:v>
      </x:c>
    </x:row>
    <x:row r="21" ht="23" customHeight="1">
      <x:c r="A21" s="2" t="str">
        <x:v>GLM-5.3-Flash</x:v>
      </x:c>
      <x:c r="B21" s="28" t="n">
        <x:f>'Cálculo'!C44</x:f>
        <x:v>0.0013216309999999998</x:v>
      </x:c>
      <x:c r="C21" s="28" t="n">
        <x:f>SUM('Cálculo'!C44:D44)</x:f>
        <x:v>0.0013226309999999997</x:v>
      </x:c>
      <x:c r="D21" s="28" t="n">
        <x:f>'Cálculo'!I44</x:f>
        <x:v>0.008815914999999999</x:v>
      </x:c>
      <x:c r="E21" s="28" t="n">
        <x:f>'Cálculo'!J44</x:f>
        <x:v>0.011211032999999999</x:v>
      </x:c>
      <x:c r="F21" s="28" t="n">
        <x:f>'Cálculo'!J43</x:f>
        <x:v>0.00416858</x:v>
      </x:c>
      <x:c r="G21" s="28" t="n">
        <x:f>'Cálculo'!J45</x:f>
        <x:v>0.029016625000000015</x:v>
      </x:c>
      <x:c r="H21" s="35" t="n">
        <x:f>E21*$B$4</x:f>
        <x:v>112.11032999999999</x:v>
      </x:c>
      <x:c r="I21" s="33" t="n">
        <x:f>F21*$B$4</x:f>
        <x:v>41.6858</x:v>
      </x:c>
      <x:c r="J21" s="33" t="n">
        <x:f>G21*$B$4</x:f>
        <x:v>290.16625000000016</x:v>
      </x:c>
    </x:row>
    <x:row r="22" ht="23" customHeight="1">
      <x:c r="A22" s="16" t="str">
        <x:v>GLM-5.3</x:v>
      </x:c>
      <x:c r="B22" s="30" t="n">
        <x:f>'Cálculo'!C47</x:f>
        <x:v>0.012279579999999998</x:v>
      </x:c>
      <x:c r="C22" s="30" t="n">
        <x:f>SUM('Cálculo'!C47:D47)</x:f>
        <x:v>0.012280579999999998</x:v>
      </x:c>
      <x:c r="D22" s="30" t="n">
        <x:f>'Cálculo'!I47</x:f>
        <x:v>0.081970804</x:v>
      </x:c>
      <x:c r="E22" s="30" t="n">
        <x:f>'Cálculo'!J47</x:f>
        <x:v>0.104154412</x:v>
      </x:c>
      <x:c r="F22" s="30" t="n">
        <x:f>'Cálculo'!J46</x:f>
        <x:v>0.03878012</x:v>
      </x:c>
      <x:c r="G22" s="30" t="n">
        <x:f>'Cálculo'!J48</x:f>
        <x:v>0.2697026200000001</x:v>
      </x:c>
      <x:c r="H22" s="36" t="n">
        <x:f>E22*$B$4</x:f>
        <x:v>1041.54412</x:v>
      </x:c>
      <x:c r="I22" s="34" t="n">
        <x:f>F22*$B$4</x:f>
        <x:v>387.8012</x:v>
      </x:c>
      <x:c r="J22" s="34" t="n">
        <x:f>G22*$B$4</x:f>
        <x:v>2697.026200000001</x:v>
      </x:c>
    </x:row>
    <x:row r="23" ht="23" customHeight="1">
      <x:c r="A23" s="2" t="str">
        <x:v>Qwen3.5 Flash (SG)</x:v>
      </x:c>
      <x:c r="B23" s="28" t="n">
        <x:f>'Cálculo'!C50</x:f>
        <x:v>0.000894998</x:v>
      </x:c>
      <x:c r="C23" s="28" t="n">
        <x:f>SUM('Cálculo'!C50:D50)</x:f>
        <x:v>0.0008959980000000001</x:v>
      </x:c>
      <x:c r="D23" s="28" t="n">
        <x:f>'Cálculo'!I50</x:f>
        <x:v>0.005953294</x:v>
      </x:c>
      <x:c r="E23" s="28" t="n">
        <x:f>'Cálculo'!J50</x:f>
        <x:v>0.007592745999999999</x:v>
      </x:c>
      <x:c r="F23" s="28" t="n">
        <x:f>'Cálculo'!J49</x:f>
        <x:v>0.00280896</x:v>
      </x:c>
      <x:c r="G23" s="28" t="n">
        <x:f>'Cálculo'!J51</x:f>
        <x:v>0.01962247000000001</x:v>
      </x:c>
      <x:c r="H23" s="35" t="n">
        <x:f>E23*$B$4</x:f>
        <x:v>75.92746</x:v>
      </x:c>
      <x:c r="I23" s="33" t="n">
        <x:f>F23*$B$4</x:f>
        <x:v>28.0896</x:v>
      </x:c>
      <x:c r="J23" s="33" t="n">
        <x:f>G23*$B$4</x:f>
        <x:v>196.2247000000001</x:v>
      </x:c>
    </x:row>
    <x:row r="24" ht="23" customHeight="1">
      <x:c r="A24" s="16" t="str">
        <x:v>Qwen3.8 Flash (SG)</x:v>
      </x:c>
      <x:c r="B24" s="30" t="n">
        <x:f>'Cálculo'!C53</x:f>
        <x:v>0.0013153712000000001</x:v>
      </x:c>
      <x:c r="C24" s="30" t="n">
        <x:f>SUM('Cálculo'!C53:D53)</x:f>
        <x:v>0.0013163712</x:v>
      </x:c>
      <x:c r="D24" s="30" t="n">
        <x:f>'Cálculo'!I53</x:f>
        <x:v>0.0087818572</x:v>
      </x:c>
      <x:c r="E24" s="30" t="n">
        <x:f>'Cálculo'!J53</x:f>
        <x:v>0.0111577572</x:v>
      </x:c>
      <x:c r="F24" s="30" t="n">
        <x:f>'Cálculo'!J52</x:f>
        <x:v>0.004155272</x:v>
      </x:c>
      <x:c r="G24" s="30" t="n">
        <x:f>'Cálculo'!J54</x:f>
        <x:v>0.02889165100000001</x:v>
      </x:c>
      <x:c r="H24" s="36" t="n">
        <x:f>E24*$B$4</x:f>
        <x:v>111.577572</x:v>
      </x:c>
      <x:c r="I24" s="34" t="n">
        <x:f>F24*$B$4</x:f>
        <x:v>41.55272</x:v>
      </x:c>
      <x:c r="J24" s="34" t="n">
        <x:f>G24*$B$4</x:f>
        <x:v>288.91651000000013</x:v>
      </x:c>
    </x:row>
    <x:row r="25" ht="23" customHeight="1">
      <x:c r="A25" s="2" t="str">
        <x:v>Qwen3.7 Plus (SG)</x:v>
      </x:c>
      <x:c r="B25" s="28" t="n">
        <x:f>'Cálculo'!C56</x:f>
        <x:v>0.003579992</x:v>
      </x:c>
      <x:c r="C25" s="28" t="n">
        <x:f>SUM('Cálculo'!C56:D56)</x:f>
        <x:v>0.0035809920000000003</x:v>
      </x:c>
      <x:c r="D25" s="28" t="n">
        <x:f>'Cálculo'!I56</x:f>
        <x:v>0.023810176</x:v>
      </x:c>
      <x:c r="E25" s="28" t="n">
        <x:f>'Cálculo'!J56</x:f>
        <x:v>0.030367983999999997</x:v>
      </x:c>
      <x:c r="F25" s="28" t="n">
        <x:f>'Cálculo'!J55</x:f>
        <x:v>0.011232840000000001</x:v>
      </x:c>
      <x:c r="G25" s="28" t="n">
        <x:f>'Cálculo'!J57</x:f>
        <x:v>0.07848688000000005</x:v>
      </x:c>
      <x:c r="H25" s="35" t="n">
        <x:f>E25*$B$4</x:f>
        <x:v>303.67983999999996</x:v>
      </x:c>
      <x:c r="I25" s="33" t="n">
        <x:f>F25*$B$4</x:f>
        <x:v>112.3284</x:v>
      </x:c>
      <x:c r="J25" s="33" t="n">
        <x:f>G25*$B$4</x:f>
        <x:v>784.8688000000005</x:v>
      </x:c>
    </x:row>
    <x:row r="26" ht="23" customHeight="1">
      <x:c r="A26" s="16" t="str">
        <x:v>Qwen3.8 Max (SG)</x:v>
      </x:c>
      <x:c r="B26" s="30" t="n">
        <x:f>'Cálculo'!C59</x:f>
        <x:v>0.01748264</x:v>
      </x:c>
      <x:c r="C26" s="30" t="n">
        <x:f>SUM('Cálculo'!C59:D59)</x:f>
        <x:v>0.01748364</x:v>
      </x:c>
      <x:c r="D26" s="30" t="n">
        <x:f>'Cálculo'!I59</x:f>
        <x:v>0.11677636</x:v>
      </x:c>
      <x:c r="E26" s="30" t="n">
        <x:f>'Cálculo'!J59</x:f>
        <x:v>0.14828420000000003</x:v>
      </x:c>
      <x:c r="F26" s="30" t="n">
        <x:f>'Cálculo'!J58</x:f>
        <x:v>0.055272999999999996</x:v>
      </x:c>
      <x:c r="G26" s="30" t="n">
        <x:f>'Cálculo'!J60</x:f>
        <x:v>0.3840988000000002</x:v>
      </x:c>
      <x:c r="H26" s="36" t="n">
        <x:f>E26*$B$4</x:f>
        <x:v>1482.8420000000003</x:v>
      </x:c>
      <x:c r="I26" s="34" t="n">
        <x:f>F26*$B$4</x:f>
        <x:v>552.7299999999999</x:v>
      </x:c>
      <x:c r="J26" s="34" t="n">
        <x:f>G26*$B$4</x:f>
        <x:v>3840.9880000000016</x:v>
      </x:c>
    </x:row>
    <x:row r="27" ht="23" customHeight="1">
      <x:c r="A27" s="2" t="str">
        <x:v>MiniMax M3</x:v>
      </x:c>
      <x:c r="B27" s="28" t="n">
        <x:f>'Cálculo'!C62</x:f>
        <x:v>0.0026849939999999996</x:v>
      </x:c>
      <x:c r="C27" s="28" t="n">
        <x:f>SUM('Cálculo'!C62:D62)</x:f>
        <x:v>0.0026859939999999997</x:v>
      </x:c>
      <x:c r="D27" s="28" t="n">
        <x:f>'Cálculo'!I62</x:f>
        <x:v>0.017857882</x:v>
      </x:c>
      <x:c r="E27" s="28" t="n">
        <x:f>'Cálculo'!J62</x:f>
        <x:v>0.022776237999999997</x:v>
      </x:c>
      <x:c r="F27" s="28" t="n">
        <x:f>'Cálculo'!J61</x:f>
        <x:v>0.008424879999999997</x:v>
      </x:c>
      <x:c r="G27" s="28" t="n">
        <x:f>'Cálculo'!J63</x:f>
        <x:v>0.05886541000000002</x:v>
      </x:c>
      <x:c r="H27" s="35" t="n">
        <x:f>E27*$B$4</x:f>
        <x:v>227.76237999999998</x:v>
      </x:c>
      <x:c r="I27" s="33" t="n">
        <x:f>F27*$B$4</x:f>
        <x:v>84.24879999999997</x:v>
      </x:c>
      <x:c r="J27" s="33" t="n">
        <x:f>G27*$B$4</x:f>
        <x:v>588.6541000000002</x:v>
      </x:c>
    </x:row>
    <x:row r="28" ht="23" customHeight="1">
      <x:c r="A28" s="16" t="str">
        <x:v>MiniMax M2.7</x:v>
      </x:c>
      <x:c r="B28" s="30" t="n">
        <x:f>'Cálculo'!C65</x:f>
        <x:v>0.0026849939999999996</x:v>
      </x:c>
      <x:c r="C28" s="30" t="n">
        <x:f>SUM('Cálculo'!C65:D65)</x:f>
        <x:v>0.0026859939999999997</x:v>
      </x:c>
      <x:c r="D28" s="30" t="n">
        <x:f>'Cálculo'!I65</x:f>
        <x:v>0.017857882</x:v>
      </x:c>
      <x:c r="E28" s="30" t="n">
        <x:f>'Cálculo'!J65</x:f>
        <x:v>0.022776237999999997</x:v>
      </x:c>
      <x:c r="F28" s="30" t="n">
        <x:f>'Cálculo'!J64</x:f>
        <x:v>0.008424879999999997</x:v>
      </x:c>
      <x:c r="G28" s="30" t="n">
        <x:f>'Cálculo'!J66</x:f>
        <x:v>0.05886541000000002</x:v>
      </x:c>
      <x:c r="H28" s="36" t="n">
        <x:f>E28*$B$4</x:f>
        <x:v>227.76237999999998</x:v>
      </x:c>
      <x:c r="I28" s="34" t="n">
        <x:f>F28*$B$4</x:f>
        <x:v>84.24879999999997</x:v>
      </x:c>
      <x:c r="J28" s="34" t="n">
        <x:f>G28*$B$4</x:f>
        <x:v>588.6541000000002</x:v>
      </x:c>
    </x:row>
    <x:row r="29" ht="23" customHeight="1">
      <x:c r="A29" s="2" t="str">
        <x:v>Kimi K3</x:v>
      </x:c>
      <x:c r="B29" s="28" t="n">
        <x:f>'Cálculo'!C68</x:f>
        <x:v>0.02747592</x:v>
      </x:c>
      <x:c r="C29" s="28" t="n">
        <x:f>SUM('Cálculo'!C68:D68)</x:f>
        <x:v>0.027476920000000002</x:v>
      </x:c>
      <x:c r="D29" s="28" t="n">
        <x:f>'Cálculo'!I68</x:f>
        <x:v>0.18197560000000002</x:v>
      </x:c>
      <x:c r="E29" s="28" t="n">
        <x:f>'Cálculo'!J68</x:f>
        <x:v>0.23308095999999998</x:v>
      </x:c>
      <x:c r="F29" s="28" t="n">
        <x:f>'Cálculo'!J67</x:f>
        <x:v>0.08557060000000001</x:v>
      </x:c>
      <x:c r="G29" s="28" t="n">
        <x:f>'Cálculo'!J69</x:f>
        <x:v>0.6011425000000002</x:v>
      </x:c>
      <x:c r="H29" s="35" t="n">
        <x:f>E29*$B$4</x:f>
        <x:v>2330.8095999999996</x:v>
      </x:c>
      <x:c r="I29" s="33" t="n">
        <x:f>F29*$B$4</x:f>
        <x:v>855.7060000000001</x:v>
      </x:c>
      <x:c r="J29" s="33" t="n">
        <x:f>G29*$B$4</x:f>
        <x:v>6011.425000000003</x:v>
      </x:c>
    </x:row>
    <x:row r="30" ht="23" customHeight="1">
      <x:c r="A30" s="16" t="str">
        <x:v>DeepSeek V4 Pro (punta)</x:v>
      </x:c>
      <x:c r="B30" s="30" t="n">
        <x:f>'Cálculo'!C71</x:f>
        <x:v>0.011538542400000002</x:v>
      </x:c>
      <x:c r="C30" s="30" t="n">
        <x:f>SUM('Cálculo'!C71:D71)</x:f>
        <x:v>0.011539542400000002</x:v>
      </x:c>
      <x:c r="D30" s="30" t="n">
        <x:f>'Cálculo'!I71</x:f>
        <x:v>0.0770727376</x:v>
      </x:c>
      <x:c r="E30" s="30" t="n">
        <x:f>'Cálculo'!J71</x:f>
        <x:v>0.097867912</x:v>
      </x:c>
      <x:c r="F30" s="30" t="n">
        <x:f>'Cálculo'!J70</x:f>
        <x:v>0.03648052</x:v>
      </x:c>
      <x:c r="G30" s="30" t="n">
        <x:f>'Cálculo'!J72</x:f>
        <x:v>0.25350554800000014</x:v>
      </x:c>
      <x:c r="H30" s="36" t="n">
        <x:f>E30*$B$4</x:f>
        <x:v>978.67912</x:v>
      </x:c>
      <x:c r="I30" s="34" t="n">
        <x:f>F30*$B$4</x:f>
        <x:v>364.8052</x:v>
      </x:c>
      <x:c r="J30" s="34" t="n">
        <x:f>G30*$B$4</x:f>
        <x:v>2535.0554800000014</x:v>
      </x:c>
    </x:row>
    <x:row r="31" ht="23" customHeight="1">
      <x:c r="A31" s="2" t="str">
        <x:v>DeepSeek V4 Pro (valle)</x:v>
      </x:c>
      <x:c r="B31" s="28" t="n">
        <x:f>'Cálculo'!C74</x:f>
        <x:v>0.005769271200000001</x:v>
      </x:c>
      <x:c r="C31" s="28" t="n">
        <x:f>SUM('Cálculo'!C74:D74)</x:f>
        <x:v>0.005770271200000001</x:v>
      </x:c>
      <x:c r="D31" s="28" t="n">
        <x:f>'Cálculo'!I74</x:f>
        <x:v>0.0385368688</x:v>
      </x:c>
      <x:c r="E31" s="28" t="n">
        <x:f>'Cálculo'!J74</x:f>
        <x:v>0.048934456</x:v>
      </x:c>
      <x:c r="F31" s="28" t="n">
        <x:f>'Cálculo'!J73</x:f>
        <x:v>0.01824076</x:v>
      </x:c>
      <x:c r="G31" s="28" t="n">
        <x:f>'Cálculo'!J75</x:f>
        <x:v>0.12675327400000005</x:v>
      </x:c>
      <x:c r="H31" s="35" t="n">
        <x:f>E31*$B$4</x:f>
        <x:v>489.34456</x:v>
      </x:c>
      <x:c r="I31" s="33" t="n">
        <x:f>F31*$B$4</x:f>
        <x:v>182.40760000000003</x:v>
      </x:c>
      <x:c r="J31" s="33" t="n">
        <x:f>G31*$B$4</x:f>
        <x:v>1267.5327400000006</x:v>
      </x:c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3" customHeight="1">
      <x:c r="A33" s="2" t="str">
        <x:v>¹ Semántica fija = extracción + embedding configurable, sin agente ni juez. Diseño estimado, no modo end-to-end medido.</x:v>
      </x:c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3" customHeight="1">
      <x:c r="A34" s="2" t="str">
        <x:v>Las bandas suman P10/P90 por etapa; no son el P10/P90 del coste total ni un techo garantizado.</x:v>
      </x:c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3" customHeight="1">
      <x:c r="A35" s="2" t="str">
        <x:v>Media para proyección de volumen. 2027 cambia solo tarifas Flash; ambas filas usan la misma carga.</x:v>
      </x:c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46" customHeight="1">
      <x:c r="A38" s="15" t="str">
        <x:v>A tu medida</x:v>
      </x:c>
      <x:c r="B38" s="15" t="str">
        <x:v>Modo</x:v>
      </x:c>
      <x:c r="C38" s="15" t="str">
        <x:v>USD / búsqueda</x:v>
      </x:c>
      <x:c r="D38" s="15" t="str">
        <x:v>Baja / búsqueda</x:v>
      </x:c>
      <x:c r="E38" s="15" t="str">
        <x:v>Alta / búsqueda</x:v>
      </x:c>
      <x:c r="F38" s="15" t="str">
        <x:v>USD / periodo</x:v>
      </x:c>
      <x:c r="G38" s="15" t="str">
        <x:v>Baja / periodo</x:v>
      </x:c>
      <x:c r="H38" s="15" t="str">
        <x:v>Alta / periodo</x:v>
      </x:c>
      <x:c r="I38" s="2"/>
      <x:c r="J38" s="2"/>
    </x:row>
    <x:row r="39" ht="23" customHeight="1">
      <x:c r="A39" s="2" t="str">
        <x:v>Modelos y etapas editables</x:v>
      </x:c>
      <x:c r="B39" s="2" t="str">
        <x:f>'Configuración'!B18</x:f>
        <x:v>IA</x:v>
      </x:c>
      <x:c r="C39" s="28" t="n">
        <x:f>IF(B39="IA",'Cálculo'!J80,'Cálculo'!I80)</x:f>
        <x:v>0.058270989999999995</x:v>
      </x:c>
      <x:c r="D39" s="28" t="n">
        <x:f>IF(B39="IA",'Cálculo'!J79,'Cálculo'!I79)</x:f>
        <x:v>0.0213934</x:v>
      </x:c>
      <x:c r="E39" s="28" t="n">
        <x:f>IF(B39="IA",'Cálculo'!J81,'Cálculo'!I81)</x:f>
        <x:v>0.15028637500000006</x:v>
      </x:c>
      <x:c r="F39" s="33" t="n">
        <x:f>C39*$B$4</x:f>
        <x:v>582.7099</x:v>
      </x:c>
      <x:c r="G39" s="33" t="n">
        <x:f>D39*$B$4</x:f>
        <x:v>213.934</x:v>
      </x:c>
      <x:c r="H39" s="33" t="n">
        <x:f>E39*$B$4</x:f>
        <x:v>1502.8637500000007</x:v>
      </x:c>
      <x:c r="I39" s="2"/>
      <x:c r="J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37" t="str">
        <x:v>Cómo interpretar los resultados</x:v>
      </x:c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3" customHeight="1">
      <x:c r="A43" s="2" t="str">
        <x:v>Extracción: convierte lenguaje natural en filtros y preferencias. El prompt y las facetas dominan la entrada.</x:v>
      </x:c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3" customHeight="1">
      <x:c r="A44" s="2" t="str">
        <x:v>Semántica: pgvector y SQL no cobran tokens; el embedding añade un coste pequeño por consulta nueva.</x:v>
      </x:c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3" customHeight="1">
      <x:c r="A45" s="2" t="str">
        <x:v>Agente: cada vuelta vuelve a enviar instrucciones y evidencias. Este bloque incluye selección y motivos.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3" customHeight="1">
      <x:c r="A46" s="2" t="str">
        <x:v>Juez: verifica pertinencia y apoyo de motivos. Cuenta dentro del producto, aparte del agente.</x:v>
      </x:c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3" customHeight="1">
      <x:c r="A47" s="2" t="str">
        <x:v>Plantilla e IA son muestras distintas. No restar columnas para obtener un precio causal por argumento.</x:v>
      </x:c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3" customHeight="1">
      <x:c r="A48" s="2" t="str">
        <x:v>Histórico, cobertura y procedencia en Tokens. El presupuesto usa input sin caché y embeddings hipotéticos en frío.</x:v>
      </x:c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3" customHeight="1">
      <x:c r="A49" s="2" t="str">
        <x:v>Tarifas verificadas el 15-09-2026. Solo API variable; excluye infraestructura, ingesta, soporte e impuestos.</x:v>
      </x:c>
      <x:c r="B49" s="2"/>
      <x:c r="C49" s="2"/>
      <x:c r="D49" s="2"/>
      <x:c r="E49" s="2"/>
      <x:c r="F49" s="2"/>
      <x:c r="G49" s="2"/>
      <x:c r="H49" s="2"/>
      <x:c r="I49" s="2"/>
      <x:c r="J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324D"/>
  </x:sheetPr>
  <x:sheetViews>
    <x:sheetView showGridLines="0" workbookViewId="0"/>
  </x:sheetViews>
  <x:sheetFormatPr defaultRowHeight="15"/>
  <x:cols>
    <x:col min="1" max="1" width="34" hidden="0" customWidth="1"/>
    <x:col min="2" max="2" width="49" hidden="0" customWidth="1"/>
    <x:col min="3" max="3" width="3" hidden="0" customWidth="1"/>
    <x:col min="4" max="4" width="98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Supuestos editables</x:v>
      </x:c>
      <x:c r="B2" s="2"/>
      <x:c r="C2" s="2"/>
      <x:c r="D2" s="2"/>
    </x:row>
    <x:row r="3" ht="23" customHeight="1">
      <x:c r="A3" s="4"/>
      <x:c r="B3" s="4"/>
      <x:c r="C3" s="4"/>
      <x:c r="D3" s="4"/>
    </x:row>
    <x:row r="4" ht="23" customHeight="1">
      <x:c r="A4" s="2" t="str">
        <x:v>Consultas</x:v>
      </x:c>
      <x:c r="B4" s="9" t="n">
        <x:v>10000</x:v>
      </x:c>
      <x:c r="C4" s="2"/>
      <x:c r="D4" s="2" t="str">
        <x:v>Volumen del periodo. Puede ser mensual, una campaña o un año.</x:v>
      </x:c>
    </x:row>
    <x:row r="5" ht="23" customHeight="1">
      <x:c r="A5" s="2" t="str">
        <x:v>Muestra de tokens</x:v>
      </x:c>
      <x:c r="B5" s="8" t="str">
        <x:v>traveler-50-flash-v3-20260911</x:v>
      </x:c>
      <x:c r="C5" s="2"/>
      <x:c r="D5" s="2" t="str">
        <x:v>v3: 50 frases/modelo. v5: 8 casos dirigidos y más recientes; no son tráfico real.</x:v>
      </x:c>
    </x:row>
    <x:row r="6" ht="23" customHeight="1">
      <x:c r="A6" s="2" t="str">
        <x:v>Pasadas de extracción</x:v>
      </x:c>
      <x:c r="B6" s="11" t="n">
        <x:v>1</x:v>
      </x:c>
      <x:c r="C6" s="2"/>
      <x:c r="D6" s="2" t="str">
        <x:v>1 = flujo medido. 2–3 = hipótesis de extracción repetida, p. ej. estilo LangExtract.</x:v>
      </x:c>
    </x:row>
    <x:row r="7" ht="23" customHeight="1">
      <x:c r="A7" s="2" t="str">
        <x:v>Factor de tokens LLM</x:v>
      </x:c>
      <x:c r="B7" s="7" t="n">
        <x:v>1</x:v>
      </x:c>
      <x:c r="C7" s="2"/>
      <x:c r="D7" s="2" t="str">
        <x:v>1 = misma carga. Sensibilidad por tokenizer, prompts o razonamiento; no calidad medida.</x:v>
      </x:c>
    </x:row>
    <x:row r="8" ht="23" customHeight="1">
      <x:c r="A8" s="2" t="str">
        <x:v>Repetición adicional</x:v>
      </x:c>
      <x:c r="B8" s="10" t="n">
        <x:v>0</x:v>
      </x:c>
      <x:c r="C8" s="2"/>
      <x:c r="D8" s="2" t="str">
        <x:v>0% base. 10% multiplica por 1,10; aproxima gasto extra equivalente de todas las etapas.</x:v>
      </x:c>
    </x:row>
    <x:row r="9" ht="23" customHeight="1">
      <x:c r="A9" s="2" t="str">
        <x:v>Tokens por embedding nuevo</x:v>
      </x:c>
      <x:c r="B9" s="11" t="n">
        <x:v>50</x:v>
      </x:c>
      <x:c r="C9" s="2"/>
      <x:c r="D9" s="2" t="str">
        <x:v>Supuesto de consulta corta sin caché. No se infiere del coste casi nulo de las evals.</x:v>
      </x:c>
    </x:row>
    <x:row r="10" ht="23" customHeight="1">
      <x:c r="A10" s="2" t="str">
        <x:v>Embeddings por búsqueda</x:v>
      </x:c>
      <x:c r="B10" s="11" t="n">
        <x:v>1</x:v>
      </x:c>
      <x:c r="C10" s="2"/>
      <x:c r="D10" s="2" t="str">
        <x:v>Supuesto editable. El agente puede reformular y emitir varias consultas semánticas.</x:v>
      </x:c>
    </x:row>
    <x:row r="11" ht="23" customHeight="1">
      <x:c r="A11" s="2" t="str">
        <x:v>Aciertos caché embeddings</x:v>
      </x:c>
      <x:c r="B11" s="10" t="n">
        <x:v>0</x:v>
      </x:c>
      <x:c r="C11" s="2"/>
      <x:c r="D11" s="2" t="str">
        <x:v>0% = todas nuevas; 100% = reutilización total. Caché propia por texto/modelo/dimensiones.</x:v>
      </x:c>
    </x:row>
    <x:row r="12" ht="23" customHeight="1">
      <x:c r="A12" s="2"/>
      <x:c r="B12" s="2"/>
      <x:c r="C12" s="2"/>
      <x:c r="D12" s="2"/>
    </x:row>
    <x:row r="13" ht="23" customHeight="1">
      <x:c r="A13" s="2"/>
      <x:c r="B13" s="2"/>
      <x:c r="C13" s="2"/>
      <x:c r="D13" s="2"/>
    </x:row>
    <x:row r="14" ht="23" customHeight="1">
      <x:c r="A14" s="2"/>
      <x:c r="B14" s="2"/>
      <x:c r="C14" s="2"/>
      <x:c r="D14" s="2"/>
    </x:row>
    <x:row r="15" ht="23" customHeight="1">
      <x:c r="A15" s="2" t="str">
        <x:v>Modelo de extracción</x:v>
      </x:c>
      <x:c r="B15" s="8" t="str">
        <x:v>Gemini 3.8 Flash (2026)</x:v>
      </x:c>
      <x:c r="C15" s="2"/>
      <x:c r="D15" s="2" t="str">
        <x:v>Solo afecta a la configuración a medida de Costes.</x:v>
      </x:c>
    </x:row>
    <x:row r="16" ht="23" customHeight="1">
      <x:c r="A16" s="2" t="str">
        <x:v>Modelo del agente</x:v>
      </x:c>
      <x:c r="B16" s="8" t="str">
        <x:v>Gemini 3.8 Flash (2026)</x:v>
      </x:c>
      <x:c r="C16" s="2"/>
      <x:c r="D16" s="2" t="str">
        <x:v>El agente recupera, selecciona y prepara los motivos en su mismo flujo.</x:v>
      </x:c>
    </x:row>
    <x:row r="17" ht="23" customHeight="1">
      <x:c r="A17" s="2" t="str">
        <x:v>Modelo del juez</x:v>
      </x:c>
      <x:c r="B17" s="8" t="str">
        <x:v>Gemini 3.8 Flash (2026)</x:v>
      </x:c>
      <x:c r="C17" s="2"/>
      <x:c r="D17" s="2" t="str">
        <x:v>Puede elegirse un modelo distinto para validar los resultados.</x:v>
      </x:c>
    </x:row>
    <x:row r="18" ht="23" customHeight="1">
      <x:c r="A18" s="2" t="str">
        <x:v>Motivos</x:v>
      </x:c>
      <x:c r="B18" s="8" t="str">
        <x:v>IA</x:v>
      </x:c>
      <x:c r="C18" s="2"/>
      <x:c r="D18" s="2" t="str">
        <x:v>IA o Plantilla. Cada modo procede de consultas distintas; no comparar como un A/B.</x:v>
      </x:c>
    </x:row>
    <x:row r="19" ht="23" customHeight="1">
      <x:c r="A19" s="2" t="str">
        <x:v>Incluir extracción</x:v>
      </x:c>
      <x:c r="B19" s="11" t="n">
        <x:v>1</x:v>
      </x:c>
      <x:c r="C19" s="2"/>
      <x:c r="D19" s="2" t="str">
        <x:v>1 sí, 0 no. Desactivar permite presupuestar una edición de filtros ya interpretados.</x:v>
      </x:c>
    </x:row>
    <x:row r="20" ht="23" customHeight="1">
      <x:c r="A20" s="2" t="str">
        <x:v>Incluir agente</x:v>
      </x:c>
      <x:c r="B20" s="11" t="n">
        <x:v>1</x:v>
      </x:c>
      <x:c r="C20" s="2"/>
      <x:c r="D20" s="2" t="str">
        <x:v>0 aproxima recuperación con flujo fijo; no acredita que esa variante esté implementada.</x:v>
      </x:c>
    </x:row>
    <x:row r="21" ht="23" customHeight="1">
      <x:c r="A21" s="2" t="str">
        <x:v>Incluir juez</x:v>
      </x:c>
      <x:c r="B21" s="11" t="n">
        <x:v>1</x:v>
      </x:c>
      <x:c r="C21" s="2"/>
      <x:c r="D21" s="2" t="str">
        <x:v>El producto actual incluye juez. Desactivarlo estima otra variante, sin validar su calidad.</x:v>
      </x:c>
    </x:row>
    <x:row r="22" ht="23" customHeight="1">
      <x:c r="A22" s="2" t="str">
        <x:v>Incluir semántica</x:v>
      </x:c>
      <x:c r="B22" s="11" t="n">
        <x:v>1</x:v>
      </x:c>
      <x:c r="C22" s="2"/>
      <x:c r="D22" s="2" t="str">
        <x:v>Controla solo embeddings, no descuenta las vueltas del agente aprendidas de las trazas.</x:v>
      </x:c>
    </x:row>
    <x:row r="23" ht="23" customHeight="1">
      <x:c r="A23" s="2"/>
      <x:c r="B23" s="2"/>
      <x:c r="C23" s="2"/>
      <x:c r="D23" s="2"/>
    </x:row>
    <x:row r="24" ht="23" customHeight="1">
      <x:c r="A24" s="2" t="str">
        <x:v>Validez de supuestos</x:v>
      </x:c>
      <x:c r="B24" s="2" t="str">
        <x:f>IF(COUNT(B4,B6:B11)=7,IF(MIN(B4,B6:B11)&gt;=0,IF(AND(B8&lt;=1,B11&lt;=1),"OK","Tasa fuera de rango"),"Valor negativo"),"Falta un número")</x:f>
        <x:v>OK</x:v>
      </x:c>
      <x:c r="C24" s="2"/>
      <x:c r="D24" s="2"/>
    </x:row>
    <x:row r="25" ht="23" customHeight="1">
      <x:c r="A25" s="2"/>
      <x:c r="B25" s="2"/>
      <x:c r="C25" s="2"/>
      <x:c r="D25" s="2"/>
    </x:row>
    <x:row r="26" ht="23" customHeight="1">
      <x:c r="A26" s="2" t="str">
        <x:v>Amarillo y azul: entradas editables. Verde: fórmulas con referencias a otra hoja.</x:v>
      </x:c>
      <x:c r="B26" s="2"/>
      <x:c r="C26" s="2"/>
      <x:c r="D26" s="2"/>
    </x:row>
    <x:row r="27" ht="23" customHeight="1">
      <x:c r="A27" s="2" t="str">
        <x:v>USD de API antes de impuestos. Infraestructura, ingesta, soporte y evaluación externa excluidos.</x:v>
      </x:c>
      <x:c r="B27" s="2"/>
      <x:c r="C27" s="2"/>
      <x:c r="D27" s="2"/>
    </x:row>
    <x:row r="28" ht="23" customHeight="1">
      <x:c r="A28" s="2" t="str">
        <x:v>Sin descuento de caché LLM en el cálculo: evita asumir ahorro o ignorar escritura y almacenamiento.</x:v>
      </x:c>
      <x:c r="B28" s="2"/>
      <x:c r="C28" s="2"/>
      <x:c r="D28" s="2"/>
    </x:row>
    <x:row r="29" ht="23" customHeight="1">
      <x:c r="A29" s="2" t="str">
        <x:v>Banda baja/alta: suma de percentiles marginales P10/P90. Es una heurística, no un intervalo de confianza.</x:v>
      </x:c>
      <x:c r="B29" s="2"/>
      <x:c r="C29" s="2"/>
      <x:c r="D29" s="2"/>
    </x:row>
    <x:row r="30" ht="23" customHeight="1">
      <x:c r="A30" s="2" t="str">
        <x:v>Las colas, fallos, reintentos y mezcla de tráfico pueden superar la banda alta. Media sirve para volumen.</x:v>
      </x:c>
      <x:c r="B30" s="2"/>
      <x:c r="C30" s="2"/>
      <x:c r="D30" s="2"/>
    </x:row>
    <x:row r="31" ht="23" customHeight="1">
      <x:c r="A31" s="2" t="str">
        <x:v>Cambiar modelo en la hoja solo cambia tarifas. Tokens, vueltas y calidad reales requieren evaluación.</x:v>
      </x:c>
      <x:c r="B31" s="2"/>
      <x:c r="C31" s="2"/>
      <x:c r="D31" s="2"/>
    </x:row>
    <x:row r="32" ht="23" customHeight="1">
      <x:c r="A32" s="2" t="str">
        <x:v>Extracción actual: Mastra + salida estructurada. LangExtract no está instalado ni medido.</x:v>
      </x:c>
      <x:c r="B32" s="2"/>
      <x:c r="C32" s="2"/>
      <x:c r="D32" s="2"/>
    </x:row>
    <x:row r="33" ht="23" customHeight="1">
      <x:c r="A33" s="2" t="str">
        <x:v>Motivos IA: coste dentro del agente. No hay una llamada LLM independiente por hotel o argumento.</x:v>
      </x:c>
      <x:c r="B33" s="2"/>
      <x:c r="C33" s="2"/>
      <x:c r="D33" s="2"/>
    </x:row>
    <x:row r="34" ht="23" customHeight="1">
      <x:c r="A34" s="2" t="str">
        <x:v>Cambiar el número de hoteles puede alterar contexto, vueltas y juez; no se asume escalado lineal.</x:v>
      </x:c>
      <x:c r="B34" s="2"/>
      <x:c r="C34" s="2"/>
      <x:c r="D34" s="2"/>
    </x:row>
    <x:row r="35" ht="23" customHeight="1">
      <x:c r="A35" s="2" t="str">
        <x:v>Tokens de razonamiento ya incluidos en salida facturable. No se suman de nuevo.</x:v>
      </x:c>
      <x:c r="B35" s="2"/>
      <x:c r="C35" s="2"/>
      <x:c r="D35" s="2"/>
    </x:row>
    <x:row r="36" ht="23" customHeight="1">
      <x:c r="A36" s="2"/>
      <x:c r="B36" s="2"/>
      <x:c r="C36" s="2"/>
      <x:c r="D36" s="2"/>
    </x:row>
    <x:row r="37" ht="23" customHeight="1">
      <x:c r="A37" s="2"/>
      <x:c r="B37" s="2"/>
      <x:c r="C37" s="2"/>
      <x:c r="D37" s="2"/>
    </x:row>
    <x:row r="38" ht="23" customHeight="1">
      <x:c r="A38" s="2"/>
      <x:c r="B38" s="2"/>
      <x:c r="C38" s="2"/>
      <x:c r="D38" s="2"/>
    </x:row>
    <x:row r="39" ht="23" customHeight="1">
      <x:c r="A39" s="2"/>
      <x:c r="B39" s="2"/>
      <x:c r="C39" s="2"/>
      <x:c r="D39" s="2"/>
    </x:row>
    <x:row r="40" ht="23" customHeight="1">
      <x:c r="A40" s="2"/>
      <x:c r="B40" s="2"/>
      <x:c r="C40" s="2"/>
      <x:c r="D40" s="2"/>
    </x:row>
    <x:row r="41" ht="23" customHeight="1">
      <x:c r="A41" s="2"/>
      <x:c r="B41" s="2"/>
      <x:c r="C41" s="2"/>
      <x:c r="D41" s="2"/>
    </x:row>
  </x:sheetData>
  <x:dataValidations count="10">
    <x:dataValidation type="list" sqref="B5">
      <x:formula1>"traveler-50-flash-v3-20260911,traveler-50-lite-v3-20260911,traveler-8-flash-v5-20260911,traveler-8-lite-v5-20260911"</x:formula1>
    </x:dataValidation>
    <x:dataValidation type="list" sqref="B15:B17">
      <x:formula1>'Tarifas'!$A$6:$A$28</x:formula1>
    </x:dataValidation>
    <x:dataValidation type="list" sqref="B18">
      <x:formula1>"IA,Plantilla"</x:formula1>
    </x:dataValidation>
    <x:dataValidation type="list" sqref="B19:B22">
      <x:formula1>"0,1"</x:formula1>
    </x:dataValidation>
    <x:dataValidation type="whole" operator="between" sqref="B4">
      <x:formula1>0</x:formula1>
      <x:formula2>1000000000</x:formula2>
    </x:dataValidation>
    <x:dataValidation type="whole" operator="between" sqref="B6">
      <x:formula1>0</x:formula1>
      <x:formula2>1000000000</x:formula2>
    </x:dataValidation>
    <x:dataValidation type="whole" operator="between" sqref="B9">
      <x:formula1>0</x:formula1>
      <x:formula2>1000000000</x:formula2>
    </x:dataValidation>
    <x:dataValidation type="whole" operator="between" sqref="B10">
      <x:formula1>0</x:formula1>
      <x:formula2>1000000000</x:formula2>
    </x:dataValidation>
    <x:dataValidation type="decimal" operator="between" sqref="B8">
      <x:formula1>0</x:formula1>
      <x:formula2>1</x:formula2>
    </x:dataValidation>
    <x:dataValidation type="decimal" operator="between" sqref="B11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932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Coste por etapa y combinación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2" t="str">
        <x:v>USD por búsqueda. La redacción está incluida en el agente; el juez de evaluaciones queda fuera.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6" customHeight="1">
      <x:c r="A6" s="15" t="str">
        <x:v>Modelo</x:v>
      </x:c>
      <x:c r="B6" s="15" t="str">
        <x:v>Banda</x:v>
      </x:c>
      <x:c r="C6" s="15" t="str">
        <x:v>Extracción</x:v>
      </x:c>
      <x:c r="D6" s="15" t="str">
        <x:v>Embedding</x:v>
      </x:c>
      <x:c r="E6" s="15" t="str">
        <x:v>Agente plantilla</x:v>
      </x:c>
      <x:c r="F6" s="15" t="str">
        <x:v>Agente motivos IA</x:v>
      </x:c>
      <x:c r="G6" s="15" t="str">
        <x:v>Juez plantilla</x:v>
      </x:c>
      <x:c r="H6" s="15" t="str">
        <x:v>Juez motivos IA</x:v>
      </x:c>
      <x:c r="I6" s="15" t="str">
        <x:v>Total plantilla</x:v>
      </x:c>
      <x:c r="J6" s="15" t="str">
        <x:v>Total motivos IA</x:v>
      </x:c>
    </x:row>
    <x:row r="7" ht="23" customHeight="1">
      <x:c r="A7" s="2" t="str">
        <x:v>Gemini 3.1 Flash-Lite</x:v>
      </x:c>
      <x:c r="B7" s="2" t="str">
        <x:v>Baja</x:v>
      </x:c>
      <x:c r="C7" s="31" t="n">
        <x:f>IF(AND('Configuración'!$B$24="OK",COUNT('Tarifas'!$B$6,'Tarifas'!$C$6)=2),('Tokens'!C7*'Tarifas'!$B$6+'Tokens'!D7*'Tarifas'!$C$6)/1000000*'Configuración'!$B$7*(1+'Configuración'!$B$8)*1*'Configuración'!$B$6,NA())</x:f>
        <x:v>0.00220895</x:v>
      </x:c>
      <x:c r="D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7" s="31" t="n">
        <x:f>IF(AND('Configuración'!$B$24="OK",COUNT('Tarifas'!$B$6,'Tarifas'!$C$6)=2),('Tokens'!C8*'Tarifas'!$B$6+'Tokens'!D8*'Tarifas'!$C$6)/1000000*'Configuración'!$B$7*(1+'Configuración'!$B$8)*1,NA())</x:f>
        <x:v>0.003934050000000001</x:v>
      </x:c>
      <x:c r="F7" s="31" t="n">
        <x:f>IF(AND('Configuración'!$B$24="OK",COUNT('Tarifas'!$B$6,'Tarifas'!$C$6)=2),('Tokens'!C9*'Tarifas'!$B$6+'Tokens'!D9*'Tarifas'!$C$6)/1000000*'Configuración'!$B$7*(1+'Configuración'!$B$8)*1,NA())</x:f>
        <x:v>0.00442655</x:v>
      </x:c>
      <x:c r="G7" s="31" t="n">
        <x:f>IF(AND('Configuración'!$B$24="OK",COUNT('Tarifas'!$B$6,'Tarifas'!$C$6)=2),('Tokens'!C10*'Tarifas'!$B$6+'Tokens'!D10*'Tarifas'!$C$6)/1000000*'Configuración'!$B$7*(1+'Configuración'!$B$8)*1,NA())</x:f>
        <x:v>0.0006375500000000002</x:v>
      </x:c>
      <x:c r="H7" s="31" t="n">
        <x:f>IF(AND('Configuración'!$B$24="OK",COUNT('Tarifas'!$B$6,'Tarifas'!$C$6)=2),('Tokens'!C11*'Tarifas'!$B$6+'Tokens'!D11*'Tarifas'!$C$6)/1000000*'Configuración'!$B$7*(1+'Configuración'!$B$8)*1,NA())</x:f>
        <x:v>0.0006062000000000001</x:v>
      </x:c>
      <x:c r="I7" s="28" t="n">
        <x:f>SUM(C7:D7,E7,G7)</x:f>
        <x:v>0.006781550000000001</x:v>
      </x:c>
      <x:c r="J7" s="28" t="n">
        <x:f>SUM(C7:D7,F7,H7)</x:f>
        <x:v>0.0072427</x:v>
      </x:c>
    </x:row>
    <x:row r="8" ht="23" customHeight="1">
      <x:c r="A8" s="16" t="str">
        <x:v>Gemini 3.1 Flash-Lite</x:v>
      </x:c>
      <x:c r="B8" s="16" t="str">
        <x:v>Media</x:v>
      </x:c>
      <x:c r="C8" s="32" t="n">
        <x:f>IF(AND('Configuración'!$B$24="OK",COUNT('Tarifas'!$B$6,'Tarifas'!$C$6)=2),('Tokens'!C12*'Tarifas'!$B$6+'Tokens'!D12*'Tarifas'!$C$6)/1000000*'Configuración'!$B$7*(1+'Configuración'!$B$8)*1*'Configuración'!$B$6,NA())</x:f>
        <x:v>0.0023418249999999996</x:v>
      </x:c>
      <x:c r="D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8" s="32" t="n">
        <x:f>IF(AND('Configuración'!$B$24="OK",COUNT('Tarifas'!$B$6,'Tarifas'!$C$6)=2),('Tokens'!C13*'Tarifas'!$B$6+'Tokens'!D13*'Tarifas'!$C$6)/1000000*'Configuración'!$B$7*(1+'Configuración'!$B$8)*1,NA())</x:f>
        <x:v>0.009770129999999998</x:v>
      </x:c>
      <x:c r="F8" s="32" t="n">
        <x:f>IF(AND('Configuración'!$B$24="OK",COUNT('Tarifas'!$B$6,'Tarifas'!$C$6)=2),('Tokens'!C14*'Tarifas'!$B$6+'Tokens'!D14*'Tarifas'!$C$6)/1000000*'Configuración'!$B$7*(1+'Configuración'!$B$8)*1,NA())</x:f>
        <x:v>0.014259629999999999</x:v>
      </x:c>
      <x:c r="G8" s="32" t="n">
        <x:f>IF(AND('Configuración'!$B$24="OK",COUNT('Tarifas'!$B$6,'Tarifas'!$C$6)=2),('Tokens'!C15*'Tarifas'!$B$6+'Tokens'!D15*'Tarifas'!$C$6)/1000000*'Configuración'!$B$7*(1+'Configuración'!$B$8)*1,NA())</x:f>
        <x:v>0.0033364099999999997</x:v>
      </x:c>
      <x:c r="H8" s="32" t="n">
        <x:f>IF(AND('Configuración'!$B$24="OK",COUNT('Tarifas'!$B$6,'Tarifas'!$C$6)=2),('Tokens'!C16*'Tarifas'!$B$6+'Tokens'!D16*'Tarifas'!$C$6)/1000000*'Configuración'!$B$7*(1+'Configuración'!$B$8)*1,NA())</x:f>
        <x:v>0.0032658400000000003</x:v>
      </x:c>
      <x:c r="I8" s="30" t="n">
        <x:f>SUM(C8:D8,E8,G8)</x:f>
        <x:v>0.015449364999999998</x:v>
      </x:c>
      <x:c r="J8" s="30" t="n">
        <x:f>SUM(C8:D8,F8,H8)</x:f>
        <x:v>0.019868294999999998</x:v>
      </x:c>
    </x:row>
    <x:row r="9" ht="23" customHeight="1">
      <x:c r="A9" s="2" t="str">
        <x:v>Gemini 3.1 Flash-Lite</x:v>
      </x:c>
      <x:c r="B9" s="2" t="str">
        <x:v>Alta</x:v>
      </x:c>
      <x:c r="C9" s="31" t="n">
        <x:f>IF(AND('Configuración'!$B$24="OK",COUNT('Tarifas'!$B$6,'Tarifas'!$C$6)=2),('Tokens'!C17*'Tarifas'!$B$6+'Tokens'!D17*'Tarifas'!$C$6)/1000000*'Configuración'!$B$7*(1+'Configuración'!$B$8)*1*'Configuración'!$B$6,NA())</x:f>
        <x:v>0.002490525</x:v>
      </x:c>
      <x:c r="D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9" s="31" t="n">
        <x:f>IF(AND('Configuración'!$B$24="OK",COUNT('Tarifas'!$B$6,'Tarifas'!$C$6)=2),('Tokens'!C18*'Tarifas'!$B$6+'Tokens'!D18*'Tarifas'!$C$6)/1000000*'Configuración'!$B$7*(1+'Configuración'!$B$8)*1,NA())</x:f>
        <x:v>0.015382550000000002</x:v>
      </x:c>
      <x:c r="F9" s="31" t="n">
        <x:f>IF(AND('Configuración'!$B$24="OK",COUNT('Tarifas'!$B$6,'Tarifas'!$C$6)=2),('Tokens'!C19*'Tarifas'!$B$6+'Tokens'!D19*'Tarifas'!$C$6)/1000000*'Configuración'!$B$7*(1+'Configuración'!$B$8)*1,NA())</x:f>
        <x:v>0.04209030000000002</x:v>
      </x:c>
      <x:c r="G9" s="31" t="n">
        <x:f>IF(AND('Configuración'!$B$24="OK",COUNT('Tarifas'!$B$6,'Tarifas'!$C$6)=2),('Tokens'!C20*'Tarifas'!$B$6+'Tokens'!D20*'Tarifas'!$C$6)/1000000*'Configuración'!$B$7*(1+'Configuración'!$B$8)*1,NA())</x:f>
        <x:v>0.0063341000000000005</x:v>
      </x:c>
      <x:c r="H9" s="31" t="n">
        <x:f>IF(AND('Configuración'!$B$24="OK",COUNT('Tarifas'!$B$6,'Tarifas'!$C$6)=2),('Tokens'!C21*'Tarifas'!$B$6+'Tokens'!D21*'Tarifas'!$C$6)/1000000*'Configuración'!$B$7*(1+'Configuración'!$B$8)*1,NA())</x:f>
        <x:v>0.00655575</x:v>
      </x:c>
      <x:c r="I9" s="28" t="n">
        <x:f>SUM(C9:D9,E9,G9)</x:f>
        <x:v>0.024208175000000005</x:v>
      </x:c>
      <x:c r="J9" s="28" t="n">
        <x:f>SUM(C9:D9,F9,H9)</x:f>
        <x:v>0.05113757500000002</x:v>
      </x:c>
    </x:row>
    <x:row r="10" ht="23" customHeight="1">
      <x:c r="A10" s="16" t="str">
        <x:v>Gemini 3.5 Flash-Lite</x:v>
      </x:c>
      <x:c r="B10" s="16" t="str">
        <x:v>Baja</x:v>
      </x:c>
      <x:c r="C10" s="32" t="n">
        <x:f>IF(AND('Configuración'!$B$24="OK",COUNT('Tarifas'!$B$7,'Tarifas'!$C$7)=2),('Tokens'!C7*'Tarifas'!$B$7+'Tokens'!D7*'Tarifas'!$C$7)/1000000*'Configuración'!$B$7*(1+'Configuración'!$B$8)*1*'Configuración'!$B$6,NA())</x:f>
        <x:v>0.0027352999999999995</x:v>
      </x:c>
      <x:c r="D1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10" s="32" t="n">
        <x:f>IF(AND('Configuración'!$B$24="OK",COUNT('Tarifas'!$B$7,'Tarifas'!$C$7)=2),('Tokens'!C8*'Tarifas'!$B$7+'Tokens'!D8*'Tarifas'!$C$7)/1000000*'Configuración'!$B$7*(1+'Configuración'!$B$8)*1,NA())</x:f>
        <x:v>0.0047820399999999996</x:v>
      </x:c>
      <x:c r="F10" s="32" t="n">
        <x:f>IF(AND('Configuración'!$B$24="OK",COUNT('Tarifas'!$B$7,'Tarifas'!$C$7)=2),('Tokens'!C9*'Tarifas'!$B$7+'Tokens'!D9*'Tarifas'!$C$7)/1000000*'Configuración'!$B$7*(1+'Configuración'!$B$8)*1,NA())</x:f>
        <x:v>0.005420079999999999</x:v>
      </x:c>
      <x:c r="G10" s="32" t="n">
        <x:f>IF(AND('Configuración'!$B$24="OK",COUNT('Tarifas'!$B$7,'Tarifas'!$C$7)=2),('Tokens'!C10*'Tarifas'!$B$7+'Tokens'!D10*'Tarifas'!$C$7)/1000000*'Configuración'!$B$7*(1+'Configuración'!$B$8)*1,NA())</x:f>
        <x:v>0.0008728600000000002</x:v>
      </x:c>
      <x:c r="H10" s="32" t="n">
        <x:f>IF(AND('Configuración'!$B$24="OK",COUNT('Tarifas'!$B$7,'Tarifas'!$C$7)=2),('Tokens'!C11*'Tarifas'!$B$7+'Tokens'!D11*'Tarifas'!$C$7)/1000000*'Configuración'!$B$7*(1+'Configuración'!$B$8)*1,NA())</x:f>
        <x:v>0.0008451800000000001</x:v>
      </x:c>
      <x:c r="I10" s="30" t="n">
        <x:f>SUM(C10:D10,E10,G10)</x:f>
        <x:v>0.0083912</x:v>
      </x:c>
      <x:c r="J10" s="30" t="n">
        <x:f>SUM(C10:D10,F10,H10)</x:f>
        <x:v>0.009001559999999999</x:v>
      </x:c>
    </x:row>
    <x:row r="11" ht="23" customHeight="1">
      <x:c r="A11" s="2" t="str">
        <x:v>Gemini 3.5 Flash-Lite</x:v>
      </x:c>
      <x:c r="B11" s="2" t="str">
        <x:v>Media</x:v>
      </x:c>
      <x:c r="C11" s="31" t="n">
        <x:f>IF(AND('Configuración'!$B$24="OK",COUNT('Tarifas'!$B$7,'Tarifas'!$C$7)=2),('Tokens'!C12*'Tarifas'!$B$7+'Tokens'!D12*'Tarifas'!$C$7)/1000000*'Configuración'!$B$7*(1+'Configuración'!$B$8)*1*'Configuración'!$B$6,NA())</x:f>
        <x:v>0.002956252</x:v>
      </x:c>
      <x:c r="D1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11" s="31" t="n">
        <x:f>IF(AND('Configuración'!$B$24="OK",COUNT('Tarifas'!$B$7,'Tarifas'!$C$7)=2),('Tokens'!C13*'Tarifas'!$B$7+'Tokens'!D13*'Tarifas'!$C$7)/1000000*'Configuración'!$B$7*(1+'Configuración'!$B$8)*1,NA())</x:f>
        <x:v>0.011982875999999998</x:v>
      </x:c>
      <x:c r="F11" s="31" t="n">
        <x:f>IF(AND('Configuración'!$B$24="OK",COUNT('Tarifas'!$B$7,'Tarifas'!$C$7)=2),('Tokens'!C14*'Tarifas'!$B$7+'Tokens'!D14*'Tarifas'!$C$7)/1000000*'Configuración'!$B$7*(1+'Configuración'!$B$8)*1,NA())</x:f>
        <x:v>0.017905468</x:v>
      </x:c>
      <x:c r="G11" s="31" t="n">
        <x:f>IF(AND('Configuración'!$B$24="OK",COUNT('Tarifas'!$B$7,'Tarifas'!$C$7)=2),('Tokens'!C15*'Tarifas'!$B$7+'Tokens'!D15*'Tarifas'!$C$7)/1000000*'Configuración'!$B$7*(1+'Configuración'!$B$8)*1,NA())</x:f>
        <x:v>0.004393592</x:v>
      </x:c>
      <x:c r="H11" s="31" t="n">
        <x:f>IF(AND('Configuración'!$B$24="OK",COUNT('Tarifas'!$B$7,'Tarifas'!$C$7)=2),('Tokens'!C16*'Tarifas'!$B$7+'Tokens'!D16*'Tarifas'!$C$7)/1000000*'Configuración'!$B$7*(1+'Configuración'!$B$8)*1,NA())</x:f>
        <x:v>0.0042221360000000005</x:v>
      </x:c>
      <x:c r="I11" s="28" t="n">
        <x:f>SUM(C11:D11,E11,G11)</x:f>
        <x:v>0.01933372</x:v>
      </x:c>
      <x:c r="J11" s="28" t="n">
        <x:f>SUM(C11:D11,F11,H11)</x:f>
        <x:v>0.025084856000000003</x:v>
      </x:c>
    </x:row>
    <x:row r="12" ht="23" customHeight="1">
      <x:c r="A12" s="16" t="str">
        <x:v>Gemini 3.5 Flash-Lite</x:v>
      </x:c>
      <x:c r="B12" s="16" t="str">
        <x:v>Alta</x:v>
      </x:c>
      <x:c r="C12" s="32" t="n">
        <x:f>IF(AND('Configuración'!$B$24="OK",COUNT('Tarifas'!$B$7,'Tarifas'!$C$7)=2),('Tokens'!C17*'Tarifas'!$B$7+'Tokens'!D17*'Tarifas'!$C$7)/1000000*'Configuración'!$B$7*(1+'Configuración'!$B$8)*1*'Configuración'!$B$6,NA())</x:f>
        <x:v>0.00320353</x:v>
      </x:c>
      <x:c r="D1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12" s="32" t="n">
        <x:f>IF(AND('Configuración'!$B$24="OK",COUNT('Tarifas'!$B$7,'Tarifas'!$C$7)=2),('Tokens'!C18*'Tarifas'!$B$7+'Tokens'!D18*'Tarifas'!$C$7)/1000000*'Configuración'!$B$7*(1+'Configuración'!$B$8)*1,NA())</x:f>
        <x:v>0.0189954</x:v>
      </x:c>
      <x:c r="F12" s="32" t="n">
        <x:f>IF(AND('Configuración'!$B$24="OK",COUNT('Tarifas'!$B$7,'Tarifas'!$C$7)=2),('Tokens'!C19*'Tarifas'!$B$7+'Tokens'!D19*'Tarifas'!$C$7)/1000000*'Configuración'!$B$7*(1+'Configuración'!$B$8)*1,NA())</x:f>
        <x:v>0.05266982000000002</x:v>
      </x:c>
      <x:c r="G12" s="32" t="n">
        <x:f>IF(AND('Configuración'!$B$24="OK",COUNT('Tarifas'!$B$7,'Tarifas'!$C$7)=2),('Tokens'!C20*'Tarifas'!$B$7+'Tokens'!D20*'Tarifas'!$C$7)/1000000*'Configuración'!$B$7*(1+'Configuración'!$B$8)*1,NA())</x:f>
        <x:v>0.00829574</x:v>
      </x:c>
      <x:c r="H12" s="32" t="n">
        <x:f>IF(AND('Configuración'!$B$24="OK",COUNT('Tarifas'!$B$7,'Tarifas'!$C$7)=2),('Tokens'!C21*'Tarifas'!$B$7+'Tokens'!D21*'Tarifas'!$C$7)/1000000*'Configuración'!$B$7*(1+'Configuración'!$B$8)*1,NA())</x:f>
        <x:v>0.0084066</x:v>
      </x:c>
      <x:c r="I12" s="30" t="n">
        <x:f>SUM(C12:D12,E12,G12)</x:f>
        <x:v>0.03049567</x:v>
      </x:c>
      <x:c r="J12" s="30" t="n">
        <x:f>SUM(C12:D12,F12,H12)</x:f>
        <x:v>0.06428095000000002</x:v>
      </x:c>
    </x:row>
    <x:row r="13" ht="23" customHeight="1">
      <x:c r="A13" s="2" t="str">
        <x:v>Gemini 3.8 Flash (2026)</x:v>
      </x:c>
      <x:c r="B13" s="2" t="str">
        <x:v>Baja</x:v>
      </x:c>
      <x:c r="C13" s="31" t="n">
        <x:f>IF(AND('Configuración'!$B$24="OK",COUNT('Tarifas'!$B$8,'Tarifas'!$C$8)=2),('Tokens'!C7*'Tarifas'!$B$8+'Tokens'!D7*'Tarifas'!$C$8)/1000000*'Configuración'!$B$7*(1+'Configuración'!$B$8)*1*'Configuración'!$B$6,NA())</x:f>
        <x:v>0.00653625</x:v>
      </x:c>
      <x:c r="D1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13" s="31" t="n">
        <x:f>IF(AND('Configuración'!$B$24="OK",COUNT('Tarifas'!$B$8,'Tarifas'!$C$8)=2),('Tokens'!C8*'Tarifas'!$B$8+'Tokens'!D8*'Tarifas'!$C$8)/1000000*'Configuración'!$B$7*(1+'Configuración'!$B$8)*1,NA())</x:f>
        <x:v>0.0117366</x:v>
      </x:c>
      <x:c r="F13" s="31" t="n">
        <x:f>IF(AND('Configuración'!$B$24="OK",COUNT('Tarifas'!$B$8,'Tarifas'!$C$8)=2),('Tokens'!C9*'Tarifas'!$B$8+'Tokens'!D9*'Tarifas'!$C$8)/1000000*'Configuración'!$B$7*(1+'Configuración'!$B$8)*1,NA())</x:f>
        <x:v>0.013163699999999999</x:v>
      </x:c>
      <x:c r="G13" s="31" t="n">
        <x:f>IF(AND('Configuración'!$B$24="OK",COUNT('Tarifas'!$B$8,'Tarifas'!$C$8)=2),('Tokens'!C10*'Tarifas'!$B$8+'Tokens'!D10*'Tarifas'!$C$8)/1000000*'Configuración'!$B$7*(1+'Configuración'!$B$8)*1,NA())</x:f>
        <x:v>0.0017971500000000006</x:v>
      </x:c>
      <x:c r="H13" s="31" t="n">
        <x:f>IF(AND('Configuración'!$B$24="OK",COUNT('Tarifas'!$B$8,'Tarifas'!$C$8)=2),('Tokens'!C11*'Tarifas'!$B$8+'Tokens'!D11*'Tarifas'!$C$8)/1000000*'Configuración'!$B$7*(1+'Configuración'!$B$8)*1,NA())</x:f>
        <x:v>0.0016924500000000003</x:v>
      </x:c>
      <x:c r="I13" s="28" t="n">
        <x:f>SUM(C13:D13,E13,G13)</x:f>
        <x:v>0.020071000000000002</x:v>
      </x:c>
      <x:c r="J13" s="28" t="n">
        <x:f>SUM(C13:D13,F13,H13)</x:f>
        <x:v>0.0213934</x:v>
      </x:c>
    </x:row>
    <x:row r="14" ht="23" customHeight="1">
      <x:c r="A14" s="16" t="str">
        <x:v>Gemini 3.8 Flash (2026)</x:v>
      </x:c>
      <x:c r="B14" s="16" t="str">
        <x:v>Media</x:v>
      </x:c>
      <x:c r="C14" s="32" t="n">
        <x:f>IF(AND('Configuración'!$B$24="OK",COUNT('Tarifas'!$B$8,'Tarifas'!$C$8)=2),('Tokens'!C12*'Tarifas'!$B$8+'Tokens'!D12*'Tarifas'!$C$8)/1000000*'Configuración'!$B$7*(1+'Configuración'!$B$8)*1*'Configuración'!$B$6,NA())</x:f>
        <x:v>0.00686898</x:v>
      </x:c>
      <x:c r="D1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14" s="32" t="n">
        <x:f>IF(AND('Configuración'!$B$24="OK",COUNT('Tarifas'!$B$8,'Tarifas'!$C$8)=2),('Tokens'!C13*'Tarifas'!$B$8+'Tokens'!D13*'Tarifas'!$C$8)/1000000*'Configuración'!$B$7*(1+'Configuración'!$B$8)*1,NA())</x:f>
        <x:v>0.02903319</x:v>
      </x:c>
      <x:c r="F14" s="32" t="n">
        <x:f>IF(AND('Configuración'!$B$24="OK",COUNT('Tarifas'!$B$8,'Tarifas'!$C$8)=2),('Tokens'!C14*'Tarifas'!$B$8+'Tokens'!D14*'Tarifas'!$C$8)/1000000*'Configuración'!$B$7*(1+'Configuración'!$B$8)*1,NA())</x:f>
        <x:v>0.04192827</x:v>
      </x:c>
      <x:c r="G14" s="32" t="n">
        <x:f>IF(AND('Configuración'!$B$24="OK",COUNT('Tarifas'!$B$8,'Tarifas'!$C$8)=2),('Tokens'!C15*'Tarifas'!$B$8+'Tokens'!D15*'Tarifas'!$C$8)/1000000*'Configuración'!$B$7*(1+'Configuración'!$B$8)*1,NA())</x:f>
        <x:v>0.00959148</x:v>
      </x:c>
      <x:c r="H14" s="32" t="n">
        <x:f>IF(AND('Configuración'!$B$24="OK",COUNT('Tarifas'!$B$8,'Tarifas'!$C$8)=2),('Tokens'!C16*'Tarifas'!$B$8+'Tokens'!D16*'Tarifas'!$C$8)/1000000*'Configuración'!$B$7*(1+'Configuración'!$B$8)*1,NA())</x:f>
        <x:v>0.00947274</x:v>
      </x:c>
      <x:c r="I14" s="30" t="n">
        <x:f>SUM(C14:D14,E14,G14)</x:f>
        <x:v>0.04549465</x:v>
      </x:c>
      <x:c r="J14" s="30" t="n">
        <x:f>SUM(C14:D14,F14,H14)</x:f>
        <x:v>0.058270989999999995</x:v>
      </x:c>
    </x:row>
    <x:row r="15" ht="23" customHeight="1">
      <x:c r="A15" s="2" t="str">
        <x:v>Gemini 3.8 Flash (2026)</x:v>
      </x:c>
      <x:c r="B15" s="2" t="str">
        <x:v>Alta</x:v>
      </x:c>
      <x:c r="C15" s="31" t="n">
        <x:f>IF(AND('Configuración'!$B$24="OK",COUNT('Tarifas'!$B$8,'Tarifas'!$C$8)=2),('Tokens'!C17*'Tarifas'!$B$8+'Tokens'!D17*'Tarifas'!$C$8)/1000000*'Configuración'!$B$7*(1+'Configuración'!$B$8)*1*'Configuración'!$B$6,NA())</x:f>
        <x:v>0.007241325000000001</x:v>
      </x:c>
      <x:c r="D1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15" s="31" t="n">
        <x:f>IF(AND('Configuración'!$B$24="OK",COUNT('Tarifas'!$B$8,'Tarifas'!$C$8)=2),('Tokens'!C18*'Tarifas'!$B$8+'Tokens'!D18*'Tarifas'!$C$8)/1000000*'Configuración'!$B$7*(1+'Configuración'!$B$8)*1,NA())</x:f>
        <x:v>0.045573</x:v>
      </x:c>
      <x:c r="F15" s="31" t="n">
        <x:f>IF(AND('Configuración'!$B$24="OK",COUNT('Tarifas'!$B$8,'Tarifas'!$C$8)=2),('Tokens'!C19*'Tarifas'!$B$8+'Tokens'!D19*'Tarifas'!$C$8)/1000000*'Configuración'!$B$7*(1+'Configuración'!$B$8)*1,NA())</x:f>
        <x:v>0.12395505000000007</x:v>
      </x:c>
      <x:c r="G15" s="31" t="n">
        <x:f>IF(AND('Configuración'!$B$24="OK",COUNT('Tarifas'!$B$8,'Tarifas'!$C$8)=2),('Tokens'!C20*'Tarifas'!$B$8+'Tokens'!D20*'Tarifas'!$C$8)/1000000*'Configuración'!$B$7*(1+'Configuración'!$B$8)*1,NA())</x:f>
        <x:v>0.01825785</x:v>
      </x:c>
      <x:c r="H15" s="31" t="n">
        <x:f>IF(AND('Configuración'!$B$24="OK",COUNT('Tarifas'!$B$8,'Tarifas'!$C$8)=2),('Tokens'!C21*'Tarifas'!$B$8+'Tokens'!D21*'Tarifas'!$C$8)/1000000*'Configuración'!$B$7*(1+'Configuración'!$B$8)*1,NA())</x:f>
        <x:v>0.019089</x:v>
      </x:c>
      <x:c r="I15" s="28" t="n">
        <x:f>SUM(C15:D15,E15,G15)</x:f>
        <x:v>0.071073175</x:v>
      </x:c>
      <x:c r="J15" s="28" t="n">
        <x:f>SUM(C15:D15,F15,H15)</x:f>
        <x:v>0.15028637500000006</x:v>
      </x:c>
    </x:row>
    <x:row r="16" ht="23" customHeight="1">
      <x:c r="A16" s="16" t="str">
        <x:v>Gemini 3.8 Flash (2027)</x:v>
      </x:c>
      <x:c r="B16" s="16" t="str">
        <x:v>Baja</x:v>
      </x:c>
      <x:c r="C16" s="32" t="n">
        <x:f>IF(AND('Configuración'!$B$24="OK",COUNT('Tarifas'!$B$9,'Tarifas'!$C$9)=2),('Tokens'!C7*'Tarifas'!$B$9+'Tokens'!D7*'Tarifas'!$C$9)/1000000*'Configuración'!$B$7*(1+'Configuración'!$B$8)*1*'Configuración'!$B$6,NA())</x:f>
        <x:v>0.0130725</x:v>
      </x:c>
      <x:c r="D16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16" s="32" t="n">
        <x:f>IF(AND('Configuración'!$B$24="OK",COUNT('Tarifas'!$B$9,'Tarifas'!$C$9)=2),('Tokens'!C8*'Tarifas'!$B$9+'Tokens'!D8*'Tarifas'!$C$9)/1000000*'Configuración'!$B$7*(1+'Configuración'!$B$8)*1,NA())</x:f>
        <x:v>0.0234732</x:v>
      </x:c>
      <x:c r="F16" s="32" t="n">
        <x:f>IF(AND('Configuración'!$B$24="OK",COUNT('Tarifas'!$B$9,'Tarifas'!$C$9)=2),('Tokens'!C9*'Tarifas'!$B$9+'Tokens'!D9*'Tarifas'!$C$9)/1000000*'Configuración'!$B$7*(1+'Configuración'!$B$8)*1,NA())</x:f>
        <x:v>0.026327399999999997</x:v>
      </x:c>
      <x:c r="G16" s="32" t="n">
        <x:f>IF(AND('Configuración'!$B$24="OK",COUNT('Tarifas'!$B$9,'Tarifas'!$C$9)=2),('Tokens'!C10*'Tarifas'!$B$9+'Tokens'!D10*'Tarifas'!$C$9)/1000000*'Configuración'!$B$7*(1+'Configuración'!$B$8)*1,NA())</x:f>
        <x:v>0.0035943000000000012</x:v>
      </x:c>
      <x:c r="H16" s="32" t="n">
        <x:f>IF(AND('Configuración'!$B$24="OK",COUNT('Tarifas'!$B$9,'Tarifas'!$C$9)=2),('Tokens'!C11*'Tarifas'!$B$9+'Tokens'!D11*'Tarifas'!$C$9)/1000000*'Configuración'!$B$7*(1+'Configuración'!$B$8)*1,NA())</x:f>
        <x:v>0.0033849000000000006</x:v>
      </x:c>
      <x:c r="I16" s="30" t="n">
        <x:f>SUM(C16:D16,E16,G16)</x:f>
        <x:v>0.040141</x:v>
      </x:c>
      <x:c r="J16" s="30" t="n">
        <x:f>SUM(C16:D16,F16,H16)</x:f>
        <x:v>0.0427858</x:v>
      </x:c>
    </x:row>
    <x:row r="17" ht="23" customHeight="1">
      <x:c r="A17" s="2" t="str">
        <x:v>Gemini 3.8 Flash (2027)</x:v>
      </x:c>
      <x:c r="B17" s="2" t="str">
        <x:v>Media</x:v>
      </x:c>
      <x:c r="C17" s="31" t="n">
        <x:f>IF(AND('Configuración'!$B$24="OK",COUNT('Tarifas'!$B$9,'Tarifas'!$C$9)=2),('Tokens'!C12*'Tarifas'!$B$9+'Tokens'!D12*'Tarifas'!$C$9)/1000000*'Configuración'!$B$7*(1+'Configuración'!$B$8)*1*'Configuración'!$B$6,NA())</x:f>
        <x:v>0.01373796</x:v>
      </x:c>
      <x:c r="D1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17" s="31" t="n">
        <x:f>IF(AND('Configuración'!$B$24="OK",COUNT('Tarifas'!$B$9,'Tarifas'!$C$9)=2),('Tokens'!C13*'Tarifas'!$B$9+'Tokens'!D13*'Tarifas'!$C$9)/1000000*'Configuración'!$B$7*(1+'Configuración'!$B$8)*1,NA())</x:f>
        <x:v>0.05806638</x:v>
      </x:c>
      <x:c r="F17" s="31" t="n">
        <x:f>IF(AND('Configuración'!$B$24="OK",COUNT('Tarifas'!$B$9,'Tarifas'!$C$9)=2),('Tokens'!C14*'Tarifas'!$B$9+'Tokens'!D14*'Tarifas'!$C$9)/1000000*'Configuración'!$B$7*(1+'Configuración'!$B$8)*1,NA())</x:f>
        <x:v>0.08385654</x:v>
      </x:c>
      <x:c r="G17" s="31" t="n">
        <x:f>IF(AND('Configuración'!$B$24="OK",COUNT('Tarifas'!$B$9,'Tarifas'!$C$9)=2),('Tokens'!C15*'Tarifas'!$B$9+'Tokens'!D15*'Tarifas'!$C$9)/1000000*'Configuración'!$B$7*(1+'Configuración'!$B$8)*1,NA())</x:f>
        <x:v>0.01918296</x:v>
      </x:c>
      <x:c r="H17" s="31" t="n">
        <x:f>IF(AND('Configuración'!$B$24="OK",COUNT('Tarifas'!$B$9,'Tarifas'!$C$9)=2),('Tokens'!C16*'Tarifas'!$B$9+'Tokens'!D16*'Tarifas'!$C$9)/1000000*'Configuración'!$B$7*(1+'Configuración'!$B$8)*1,NA())</x:f>
        <x:v>0.01894548</x:v>
      </x:c>
      <x:c r="I17" s="28" t="n">
        <x:f>SUM(C17:D17,E17,G17)</x:f>
        <x:v>0.0909883</x:v>
      </x:c>
      <x:c r="J17" s="28" t="n">
        <x:f>SUM(C17:D17,F17,H17)</x:f>
        <x:v>0.11654097999999999</x:v>
      </x:c>
    </x:row>
    <x:row r="18" ht="23" customHeight="1">
      <x:c r="A18" s="16" t="str">
        <x:v>Gemini 3.8 Flash (2027)</x:v>
      </x:c>
      <x:c r="B18" s="16" t="str">
        <x:v>Alta</x:v>
      </x:c>
      <x:c r="C18" s="32" t="n">
        <x:f>IF(AND('Configuración'!$B$24="OK",COUNT('Tarifas'!$B$9,'Tarifas'!$C$9)=2),('Tokens'!C17*'Tarifas'!$B$9+'Tokens'!D17*'Tarifas'!$C$9)/1000000*'Configuración'!$B$7*(1+'Configuración'!$B$8)*1*'Configuración'!$B$6,NA())</x:f>
        <x:v>0.014482650000000001</x:v>
      </x:c>
      <x:c r="D1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18" s="32" t="n">
        <x:f>IF(AND('Configuración'!$B$24="OK",COUNT('Tarifas'!$B$9,'Tarifas'!$C$9)=2),('Tokens'!C18*'Tarifas'!$B$9+'Tokens'!D18*'Tarifas'!$C$9)/1000000*'Configuración'!$B$7*(1+'Configuración'!$B$8)*1,NA())</x:f>
        <x:v>0.091146</x:v>
      </x:c>
      <x:c r="F18" s="32" t="n">
        <x:f>IF(AND('Configuración'!$B$24="OK",COUNT('Tarifas'!$B$9,'Tarifas'!$C$9)=2),('Tokens'!C19*'Tarifas'!$B$9+'Tokens'!D19*'Tarifas'!$C$9)/1000000*'Configuración'!$B$7*(1+'Configuración'!$B$8)*1,NA())</x:f>
        <x:v>0.24791010000000013</x:v>
      </x:c>
      <x:c r="G18" s="32" t="n">
        <x:f>IF(AND('Configuración'!$B$24="OK",COUNT('Tarifas'!$B$9,'Tarifas'!$C$9)=2),('Tokens'!C20*'Tarifas'!$B$9+'Tokens'!D20*'Tarifas'!$C$9)/1000000*'Configuración'!$B$7*(1+'Configuración'!$B$8)*1,NA())</x:f>
        <x:v>0.0365157</x:v>
      </x:c>
      <x:c r="H18" s="32" t="n">
        <x:f>IF(AND('Configuración'!$B$24="OK",COUNT('Tarifas'!$B$9,'Tarifas'!$C$9)=2),('Tokens'!C21*'Tarifas'!$B$9+'Tokens'!D21*'Tarifas'!$C$9)/1000000*'Configuración'!$B$7*(1+'Configuración'!$B$8)*1,NA())</x:f>
        <x:v>0.038178</x:v>
      </x:c>
      <x:c r="I18" s="30" t="n">
        <x:f>SUM(C18:D18,E18,G18)</x:f>
        <x:v>0.14214535</x:v>
      </x:c>
      <x:c r="J18" s="30" t="n">
        <x:f>SUM(C18:D18,F18,H18)</x:f>
        <x:v>0.30057175000000014</x:v>
      </x:c>
    </x:row>
    <x:row r="19" ht="23" customHeight="1">
      <x:c r="A19" s="2" t="str">
        <x:v>GPT-5.6 Luna</x:v>
      </x:c>
      <x:c r="B19" s="2" t="str">
        <x:v>Baja</x:v>
      </x:c>
      <x:c r="C19" s="31" t="n">
        <x:f>IF(AND('Configuración'!$B$24="OK",COUNT('Tarifas'!$B$10,'Tarifas'!$C$10)=2),('Tokens'!C7*'Tarifas'!$B$10+'Tokens'!D7*'Tarifas'!$C$10)/1000000*'Configuración'!$B$7*(1+'Configuración'!$B$8)*1*'Configuración'!$B$6,NA())</x:f>
        <x:v>0.00176716</x:v>
      </x:c>
      <x:c r="D1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19" s="31" t="n">
        <x:f>IF(AND('Configuración'!$B$24="OK",COUNT('Tarifas'!$B$10,'Tarifas'!$C$10)=2),('Tokens'!C8*'Tarifas'!$B$10+'Tokens'!D8*'Tarifas'!$C$10)/1000000*'Configuración'!$B$7*(1+'Configuración'!$B$8)*1,NA())</x:f>
        <x:v>0.003147240000000001</x:v>
      </x:c>
      <x:c r="F19" s="31" t="n">
        <x:f>IF(AND('Configuración'!$B$24="OK",COUNT('Tarifas'!$B$10,'Tarifas'!$C$10)=2),('Tokens'!C9*'Tarifas'!$B$10+'Tokens'!D9*'Tarifas'!$C$10)/1000000*'Configuración'!$B$7*(1+'Configuración'!$B$8)*1,NA())</x:f>
        <x:v>0.0035412399999999998</x:v>
      </x:c>
      <x:c r="G19" s="31" t="n">
        <x:f>IF(AND('Configuración'!$B$24="OK",COUNT('Tarifas'!$B$10,'Tarifas'!$C$10)=2),('Tokens'!C10*'Tarifas'!$B$10+'Tokens'!D10*'Tarifas'!$C$10)/1000000*'Configuración'!$B$7*(1+'Configuración'!$B$8)*1,NA())</x:f>
        <x:v>0.0005100400000000002</x:v>
      </x:c>
      <x:c r="H19" s="31" t="n">
        <x:f>IF(AND('Configuración'!$B$24="OK",COUNT('Tarifas'!$B$10,'Tarifas'!$C$10)=2),('Tokens'!C11*'Tarifas'!$B$10+'Tokens'!D11*'Tarifas'!$C$10)/1000000*'Configuración'!$B$7*(1+'Configuración'!$B$8)*1,NA())</x:f>
        <x:v>0.00048496000000000005</x:v>
      </x:c>
      <x:c r="I19" s="28" t="n">
        <x:f>SUM(C19:D19,E19,G19)</x:f>
        <x:v>0.00542544</x:v>
      </x:c>
      <x:c r="J19" s="28" t="n">
        <x:f>SUM(C19:D19,F19,H19)</x:f>
        <x:v>0.00579436</x:v>
      </x:c>
    </x:row>
    <x:row r="20" ht="23" customHeight="1">
      <x:c r="A20" s="16" t="str">
        <x:v>GPT-5.6 Luna</x:v>
      </x:c>
      <x:c r="B20" s="16" t="str">
        <x:v>Media</x:v>
      </x:c>
      <x:c r="C20" s="32" t="n">
        <x:f>IF(AND('Configuración'!$B$24="OK",COUNT('Tarifas'!$B$10,'Tarifas'!$C$10)=2),('Tokens'!C12*'Tarifas'!$B$10+'Tokens'!D12*'Tarifas'!$C$10)/1000000*'Configuración'!$B$7*(1+'Configuración'!$B$8)*1*'Configuración'!$B$6,NA())</x:f>
        <x:v>0.0018734600000000002</x:v>
      </x:c>
      <x:c r="D2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20" s="32" t="n">
        <x:f>IF(AND('Configuración'!$B$24="OK",COUNT('Tarifas'!$B$10,'Tarifas'!$C$10)=2),('Tokens'!C13*'Tarifas'!$B$10+'Tokens'!D13*'Tarifas'!$C$10)/1000000*'Configuración'!$B$7*(1+'Configuración'!$B$8)*1,NA())</x:f>
        <x:v>0.007816104</x:v>
      </x:c>
      <x:c r="F20" s="32" t="n">
        <x:f>IF(AND('Configuración'!$B$24="OK",COUNT('Tarifas'!$B$10,'Tarifas'!$C$10)=2),('Tokens'!C14*'Tarifas'!$B$10+'Tokens'!D14*'Tarifas'!$C$10)/1000000*'Configuración'!$B$7*(1+'Configuración'!$B$8)*1,NA())</x:f>
        <x:v>0.011407704</x:v>
      </x:c>
      <x:c r="G20" s="32" t="n">
        <x:f>IF(AND('Configuración'!$B$24="OK",COUNT('Tarifas'!$B$10,'Tarifas'!$C$10)=2),('Tokens'!C15*'Tarifas'!$B$10+'Tokens'!D15*'Tarifas'!$C$10)/1000000*'Configuración'!$B$7*(1+'Configuración'!$B$8)*1,NA())</x:f>
        <x:v>0.002669128</x:v>
      </x:c>
      <x:c r="H20" s="32" t="n">
        <x:f>IF(AND('Configuración'!$B$24="OK",COUNT('Tarifas'!$B$10,'Tarifas'!$C$10)=2),('Tokens'!C16*'Tarifas'!$B$10+'Tokens'!D16*'Tarifas'!$C$10)/1000000*'Configuración'!$B$7*(1+'Configuración'!$B$8)*1,NA())</x:f>
        <x:v>0.0026126720000000003</x:v>
      </x:c>
      <x:c r="I20" s="30" t="n">
        <x:f>SUM(C20:D20,E20,G20)</x:f>
        <x:v>0.012359692</x:v>
      </x:c>
      <x:c r="J20" s="30" t="n">
        <x:f>SUM(C20:D20,F20,H20)</x:f>
        <x:v>0.015894836</x:v>
      </x:c>
    </x:row>
    <x:row r="21" ht="23" customHeight="1">
      <x:c r="A21" s="2" t="str">
        <x:v>GPT-5.6 Luna</x:v>
      </x:c>
      <x:c r="B21" s="2" t="str">
        <x:v>Alta</x:v>
      </x:c>
      <x:c r="C21" s="31" t="n">
        <x:f>IF(AND('Configuración'!$B$24="OK",COUNT('Tarifas'!$B$10,'Tarifas'!$C$10)=2),('Tokens'!C17*'Tarifas'!$B$10+'Tokens'!D17*'Tarifas'!$C$10)/1000000*'Configuración'!$B$7*(1+'Configuración'!$B$8)*1*'Configuración'!$B$6,NA())</x:f>
        <x:v>0.00199242</x:v>
      </x:c>
      <x:c r="D2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21" s="31" t="n">
        <x:f>IF(AND('Configuración'!$B$24="OK",COUNT('Tarifas'!$B$10,'Tarifas'!$C$10)=2),('Tokens'!C18*'Tarifas'!$B$10+'Tokens'!D18*'Tarifas'!$C$10)/1000000*'Configuración'!$B$7*(1+'Configuración'!$B$8)*1,NA())</x:f>
        <x:v>0.01230604</x:v>
      </x:c>
      <x:c r="F21" s="31" t="n">
        <x:f>IF(AND('Configuración'!$B$24="OK",COUNT('Tarifas'!$B$10,'Tarifas'!$C$10)=2),('Tokens'!C19*'Tarifas'!$B$10+'Tokens'!D19*'Tarifas'!$C$10)/1000000*'Configuración'!$B$7*(1+'Configuración'!$B$8)*1,NA())</x:f>
        <x:v>0.03367224000000002</x:v>
      </x:c>
      <x:c r="G21" s="31" t="n">
        <x:f>IF(AND('Configuración'!$B$24="OK",COUNT('Tarifas'!$B$10,'Tarifas'!$C$10)=2),('Tokens'!C20*'Tarifas'!$B$10+'Tokens'!D20*'Tarifas'!$C$10)/1000000*'Configuración'!$B$7*(1+'Configuración'!$B$8)*1,NA())</x:f>
        <x:v>0.0050672799999999995</x:v>
      </x:c>
      <x:c r="H21" s="31" t="n">
        <x:f>IF(AND('Configuración'!$B$24="OK",COUNT('Tarifas'!$B$10,'Tarifas'!$C$10)=2),('Tokens'!C21*'Tarifas'!$B$10+'Tokens'!D21*'Tarifas'!$C$10)/1000000*'Configuración'!$B$7*(1+'Configuración'!$B$8)*1,NA())</x:f>
        <x:v>0.0052446</x:v>
      </x:c>
      <x:c r="I21" s="28" t="n">
        <x:f>SUM(C21:D21,E21,G21)</x:f>
        <x:v>0.01936674</x:v>
      </x:c>
      <x:c r="J21" s="28" t="n">
        <x:f>SUM(C21:D21,F21,H21)</x:f>
        <x:v>0.040910260000000025</x:v>
      </x:c>
    </x:row>
    <x:row r="22" ht="23" customHeight="1">
      <x:c r="A22" s="16" t="str">
        <x:v>GPT-5.4 mini</x:v>
      </x:c>
      <x:c r="B22" s="16" t="str">
        <x:v>Baja</x:v>
      </x:c>
      <x:c r="C22" s="32" t="n">
        <x:f>IF(AND('Configuración'!$B$24="OK",COUNT('Tarifas'!$B$11,'Tarifas'!$C$11)=2),('Tokens'!C7*'Tarifas'!$B$11+'Tokens'!D7*'Tarifas'!$C$11)/1000000*'Configuración'!$B$7*(1+'Configuración'!$B$8)*1*'Configuración'!$B$6,NA())</x:f>
        <x:v>0.00662685</x:v>
      </x:c>
      <x:c r="D2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22" s="32" t="n">
        <x:f>IF(AND('Configuración'!$B$24="OK",COUNT('Tarifas'!$B$11,'Tarifas'!$C$11)=2),('Tokens'!C8*'Tarifas'!$B$11+'Tokens'!D8*'Tarifas'!$C$11)/1000000*'Configuración'!$B$7*(1+'Configuración'!$B$8)*1,NA())</x:f>
        <x:v>0.011802149999999999</x:v>
      </x:c>
      <x:c r="F22" s="32" t="n">
        <x:f>IF(AND('Configuración'!$B$24="OK",COUNT('Tarifas'!$B$11,'Tarifas'!$C$11)=2),('Tokens'!C9*'Tarifas'!$B$11+'Tokens'!D9*'Tarifas'!$C$11)/1000000*'Configuración'!$B$7*(1+'Configuración'!$B$8)*1,NA())</x:f>
        <x:v>0.01327965</x:v>
      </x:c>
      <x:c r="G22" s="32" t="n">
        <x:f>IF(AND('Configuración'!$B$24="OK",COUNT('Tarifas'!$B$11,'Tarifas'!$C$11)=2),('Tokens'!C10*'Tarifas'!$B$11+'Tokens'!D10*'Tarifas'!$C$11)/1000000*'Configuración'!$B$7*(1+'Configuración'!$B$8)*1,NA())</x:f>
        <x:v>0.0019126500000000005</x:v>
      </x:c>
      <x:c r="H22" s="32" t="n">
        <x:f>IF(AND('Configuración'!$B$24="OK",COUNT('Tarifas'!$B$11,'Tarifas'!$C$11)=2),('Tokens'!C11*'Tarifas'!$B$11+'Tokens'!D11*'Tarifas'!$C$11)/1000000*'Configuración'!$B$7*(1+'Configuración'!$B$8)*1,NA())</x:f>
        <x:v>0.0018186000000000003</x:v>
      </x:c>
      <x:c r="I22" s="30" t="n">
        <x:f>SUM(C22:D22,E22,G22)</x:f>
        <x:v>0.02034265</x:v>
      </x:c>
      <x:c r="J22" s="30" t="n">
        <x:f>SUM(C22:D22,F22,H22)</x:f>
        <x:v>0.0217261</x:v>
      </x:c>
    </x:row>
    <x:row r="23" ht="23" customHeight="1">
      <x:c r="A23" s="2" t="str">
        <x:v>GPT-5.4 mini</x:v>
      </x:c>
      <x:c r="B23" s="2" t="str">
        <x:v>Media</x:v>
      </x:c>
      <x:c r="C23" s="31" t="n">
        <x:f>IF(AND('Configuración'!$B$24="OK",COUNT('Tarifas'!$B$11,'Tarifas'!$C$11)=2),('Tokens'!C12*'Tarifas'!$B$11+'Tokens'!D12*'Tarifas'!$C$11)/1000000*'Configuración'!$B$7*(1+'Configuración'!$B$8)*1*'Configuración'!$B$6,NA())</x:f>
        <x:v>0.007025475000000001</x:v>
      </x:c>
      <x:c r="D2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23" s="31" t="n">
        <x:f>IF(AND('Configuración'!$B$24="OK",COUNT('Tarifas'!$B$11,'Tarifas'!$C$11)=2),('Tokens'!C13*'Tarifas'!$B$11+'Tokens'!D13*'Tarifas'!$C$11)/1000000*'Configuración'!$B$7*(1+'Configuración'!$B$8)*1,NA())</x:f>
        <x:v>0.02931039</x:v>
      </x:c>
      <x:c r="F23" s="31" t="n">
        <x:f>IF(AND('Configuración'!$B$24="OK",COUNT('Tarifas'!$B$11,'Tarifas'!$C$11)=2),('Tokens'!C14*'Tarifas'!$B$11+'Tokens'!D14*'Tarifas'!$C$11)/1000000*'Configuración'!$B$7*(1+'Configuración'!$B$8)*1,NA())</x:f>
        <x:v>0.04277889</x:v>
      </x:c>
      <x:c r="G23" s="31" t="n">
        <x:f>IF(AND('Configuración'!$B$24="OK",COUNT('Tarifas'!$B$11,'Tarifas'!$C$11)=2),('Tokens'!C15*'Tarifas'!$B$11+'Tokens'!D15*'Tarifas'!$C$11)/1000000*'Configuración'!$B$7*(1+'Configuración'!$B$8)*1,NA())</x:f>
        <x:v>0.01000923</x:v>
      </x:c>
      <x:c r="H23" s="31" t="n">
        <x:f>IF(AND('Configuración'!$B$24="OK",COUNT('Tarifas'!$B$11,'Tarifas'!$C$11)=2),('Tokens'!C16*'Tarifas'!$B$11+'Tokens'!D16*'Tarifas'!$C$11)/1000000*'Configuración'!$B$7*(1+'Configuración'!$B$8)*1,NA())</x:f>
        <x:v>0.00979752</x:v>
      </x:c>
      <x:c r="I23" s="28" t="n">
        <x:f>SUM(C23:D23,E23,G23)</x:f>
        <x:v>0.046346095</x:v>
      </x:c>
      <x:c r="J23" s="28" t="n">
        <x:f>SUM(C23:D23,F23,H23)</x:f>
        <x:v>0.05960288500000001</x:v>
      </x:c>
    </x:row>
    <x:row r="24" ht="23" customHeight="1">
      <x:c r="A24" s="16" t="str">
        <x:v>GPT-5.4 mini</x:v>
      </x:c>
      <x:c r="B24" s="16" t="str">
        <x:v>Alta</x:v>
      </x:c>
      <x:c r="C24" s="32" t="n">
        <x:f>IF(AND('Configuración'!$B$24="OK",COUNT('Tarifas'!$B$11,'Tarifas'!$C$11)=2),('Tokens'!C17*'Tarifas'!$B$11+'Tokens'!D17*'Tarifas'!$C$11)/1000000*'Configuración'!$B$7*(1+'Configuración'!$B$8)*1*'Configuración'!$B$6,NA())</x:f>
        <x:v>0.007471575000000001</x:v>
      </x:c>
      <x:c r="D2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24" s="32" t="n">
        <x:f>IF(AND('Configuración'!$B$24="OK",COUNT('Tarifas'!$B$11,'Tarifas'!$C$11)=2),('Tokens'!C18*'Tarifas'!$B$11+'Tokens'!D18*'Tarifas'!$C$11)/1000000*'Configuración'!$B$7*(1+'Configuración'!$B$8)*1,NA())</x:f>
        <x:v>0.04614765</x:v>
      </x:c>
      <x:c r="F24" s="32" t="n">
        <x:f>IF(AND('Configuración'!$B$24="OK",COUNT('Tarifas'!$B$11,'Tarifas'!$C$11)=2),('Tokens'!C19*'Tarifas'!$B$11+'Tokens'!D19*'Tarifas'!$C$11)/1000000*'Configuración'!$B$7*(1+'Configuración'!$B$8)*1,NA())</x:f>
        <x:v>0.12627090000000007</x:v>
      </x:c>
      <x:c r="G24" s="32" t="n">
        <x:f>IF(AND('Configuración'!$B$24="OK",COUNT('Tarifas'!$B$11,'Tarifas'!$C$11)=2),('Tokens'!C20*'Tarifas'!$B$11+'Tokens'!D20*'Tarifas'!$C$11)/1000000*'Configuración'!$B$7*(1+'Configuración'!$B$8)*1,NA())</x:f>
        <x:v>0.0190023</x:v>
      </x:c>
      <x:c r="H24" s="32" t="n">
        <x:f>IF(AND('Configuración'!$B$24="OK",COUNT('Tarifas'!$B$11,'Tarifas'!$C$11)=2),('Tokens'!C21*'Tarifas'!$B$11+'Tokens'!D21*'Tarifas'!$C$11)/1000000*'Configuración'!$B$7*(1+'Configuración'!$B$8)*1,NA())</x:f>
        <x:v>0.01966725</x:v>
      </x:c>
      <x:c r="I24" s="30" t="n">
        <x:f>SUM(C24:D24,E24,G24)</x:f>
        <x:v>0.072622525</x:v>
      </x:c>
      <x:c r="J24" s="30" t="n">
        <x:f>SUM(C24:D24,F24,H24)</x:f>
        <x:v>0.15341072500000008</x:v>
      </x:c>
    </x:row>
    <x:row r="25" ht="23" customHeight="1">
      <x:c r="A25" s="2" t="str">
        <x:v>GPT-5.6 Terra</x:v>
      </x:c>
      <x:c r="B25" s="2" t="str">
        <x:v>Baja</x:v>
      </x:c>
      <x:c r="C25" s="31" t="n">
        <x:f>IF(AND('Configuración'!$B$24="OK",COUNT('Tarifas'!$B$12,'Tarifas'!$C$12)=2),('Tokens'!C7*'Tarifas'!$B$12+'Tokens'!D7*'Tarifas'!$C$12)/1000000*'Configuración'!$B$7*(1+'Configuración'!$B$8)*1*'Configuración'!$B$6,NA())</x:f>
        <x:v>0.0176716</x:v>
      </x:c>
      <x:c r="D2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25" s="31" t="n">
        <x:f>IF(AND('Configuración'!$B$24="OK",COUNT('Tarifas'!$B$12,'Tarifas'!$C$12)=2),('Tokens'!C8*'Tarifas'!$B$12+'Tokens'!D8*'Tarifas'!$C$12)/1000000*'Configuración'!$B$7*(1+'Configuración'!$B$8)*1,NA())</x:f>
        <x:v>0.031472400000000005</x:v>
      </x:c>
      <x:c r="F25" s="31" t="n">
        <x:f>IF(AND('Configuración'!$B$24="OK",COUNT('Tarifas'!$B$12,'Tarifas'!$C$12)=2),('Tokens'!C9*'Tarifas'!$B$12+'Tokens'!D9*'Tarifas'!$C$12)/1000000*'Configuración'!$B$7*(1+'Configuración'!$B$8)*1,NA())</x:f>
        <x:v>0.0354124</x:v>
      </x:c>
      <x:c r="G25" s="31" t="n">
        <x:f>IF(AND('Configuración'!$B$24="OK",COUNT('Tarifas'!$B$12,'Tarifas'!$C$12)=2),('Tokens'!C10*'Tarifas'!$B$12+'Tokens'!D10*'Tarifas'!$C$12)/1000000*'Configuración'!$B$7*(1+'Configuración'!$B$8)*1,NA())</x:f>
        <x:v>0.0051004000000000015</x:v>
      </x:c>
      <x:c r="H25" s="31" t="n">
        <x:f>IF(AND('Configuración'!$B$24="OK",COUNT('Tarifas'!$B$12,'Tarifas'!$C$12)=2),('Tokens'!C11*'Tarifas'!$B$12+'Tokens'!D11*'Tarifas'!$C$12)/1000000*'Configuración'!$B$7*(1+'Configuración'!$B$8)*1,NA())</x:f>
        <x:v>0.004849600000000001</x:v>
      </x:c>
      <x:c r="I25" s="28" t="n">
        <x:f>SUM(C25:D25,E25,G25)</x:f>
        <x:v>0.05424540000000001</x:v>
      </x:c>
      <x:c r="J25" s="28" t="n">
        <x:f>SUM(C25:D25,F25,H25)</x:f>
        <x:v>0.057934599999999996</x:v>
      </x:c>
    </x:row>
    <x:row r="26" ht="23" customHeight="1">
      <x:c r="A26" s="16" t="str">
        <x:v>GPT-5.6 Terra</x:v>
      </x:c>
      <x:c r="B26" s="16" t="str">
        <x:v>Media</x:v>
      </x:c>
      <x:c r="C26" s="32" t="n">
        <x:f>IF(AND('Configuración'!$B$24="OK",COUNT('Tarifas'!$B$12,'Tarifas'!$C$12)=2),('Tokens'!C12*'Tarifas'!$B$12+'Tokens'!D12*'Tarifas'!$C$12)/1000000*'Configuración'!$B$7*(1+'Configuración'!$B$8)*1*'Configuración'!$B$6,NA())</x:f>
        <x:v>0.018734599999999997</x:v>
      </x:c>
      <x:c r="D26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26" s="32" t="n">
        <x:f>IF(AND('Configuración'!$B$24="OK",COUNT('Tarifas'!$B$12,'Tarifas'!$C$12)=2),('Tokens'!C13*'Tarifas'!$B$12+'Tokens'!D13*'Tarifas'!$C$12)/1000000*'Configuración'!$B$7*(1+'Configuración'!$B$8)*1,NA())</x:f>
        <x:v>0.07816103999999999</x:v>
      </x:c>
      <x:c r="F26" s="32" t="n">
        <x:f>IF(AND('Configuración'!$B$24="OK",COUNT('Tarifas'!$B$12,'Tarifas'!$C$12)=2),('Tokens'!C14*'Tarifas'!$B$12+'Tokens'!D14*'Tarifas'!$C$12)/1000000*'Configuración'!$B$7*(1+'Configuración'!$B$8)*1,NA())</x:f>
        <x:v>0.11407703999999999</x:v>
      </x:c>
      <x:c r="G26" s="32" t="n">
        <x:f>IF(AND('Configuración'!$B$24="OK",COUNT('Tarifas'!$B$12,'Tarifas'!$C$12)=2),('Tokens'!C15*'Tarifas'!$B$12+'Tokens'!D15*'Tarifas'!$C$12)/1000000*'Configuración'!$B$7*(1+'Configuración'!$B$8)*1,NA())</x:f>
        <x:v>0.026691279999999998</x:v>
      </x:c>
      <x:c r="H26" s="32" t="n">
        <x:f>IF(AND('Configuración'!$B$24="OK",COUNT('Tarifas'!$B$12,'Tarifas'!$C$12)=2),('Tokens'!C16*'Tarifas'!$B$12+'Tokens'!D16*'Tarifas'!$C$12)/1000000*'Configuración'!$B$7*(1+'Configuración'!$B$8)*1,NA())</x:f>
        <x:v>0.026126720000000003</x:v>
      </x:c>
      <x:c r="I26" s="30" t="n">
        <x:f>SUM(C26:D26,E26,G26)</x:f>
        <x:v>0.12358791999999998</x:v>
      </x:c>
      <x:c r="J26" s="30" t="n">
        <x:f>SUM(C26:D26,F26,H26)</x:f>
        <x:v>0.15893935999999997</x:v>
      </x:c>
    </x:row>
    <x:row r="27" ht="23" customHeight="1">
      <x:c r="A27" s="2" t="str">
        <x:v>GPT-5.6 Terra</x:v>
      </x:c>
      <x:c r="B27" s="2" t="str">
        <x:v>Alta</x:v>
      </x:c>
      <x:c r="C27" s="31" t="n">
        <x:f>IF(AND('Configuración'!$B$24="OK",COUNT('Tarifas'!$B$12,'Tarifas'!$C$12)=2),('Tokens'!C17*'Tarifas'!$B$12+'Tokens'!D17*'Tarifas'!$C$12)/1000000*'Configuración'!$B$7*(1+'Configuración'!$B$8)*1*'Configuración'!$B$6,NA())</x:f>
        <x:v>0.0199242</x:v>
      </x:c>
      <x:c r="D2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27" s="31" t="n">
        <x:f>IF(AND('Configuración'!$B$24="OK",COUNT('Tarifas'!$B$12,'Tarifas'!$C$12)=2),('Tokens'!C18*'Tarifas'!$B$12+'Tokens'!D18*'Tarifas'!$C$12)/1000000*'Configuración'!$B$7*(1+'Configuración'!$B$8)*1,NA())</x:f>
        <x:v>0.12306040000000001</x:v>
      </x:c>
      <x:c r="F27" s="31" t="n">
        <x:f>IF(AND('Configuración'!$B$24="OK",COUNT('Tarifas'!$B$12,'Tarifas'!$C$12)=2),('Tokens'!C19*'Tarifas'!$B$12+'Tokens'!D19*'Tarifas'!$C$12)/1000000*'Configuración'!$B$7*(1+'Configuración'!$B$8)*1,NA())</x:f>
        <x:v>0.33672240000000014</x:v>
      </x:c>
      <x:c r="G27" s="31" t="n">
        <x:f>IF(AND('Configuración'!$B$24="OK",COUNT('Tarifas'!$B$12,'Tarifas'!$C$12)=2),('Tokens'!C20*'Tarifas'!$B$12+'Tokens'!D20*'Tarifas'!$C$12)/1000000*'Configuración'!$B$7*(1+'Configuración'!$B$8)*1,NA())</x:f>
        <x:v>0.050672800000000004</x:v>
      </x:c>
      <x:c r="H27" s="31" t="n">
        <x:f>IF(AND('Configuración'!$B$24="OK",COUNT('Tarifas'!$B$12,'Tarifas'!$C$12)=2),('Tokens'!C21*'Tarifas'!$B$12+'Tokens'!D21*'Tarifas'!$C$12)/1000000*'Configuración'!$B$7*(1+'Configuración'!$B$8)*1,NA())</x:f>
        <x:v>0.052446</x:v>
      </x:c>
      <x:c r="I27" s="28" t="n">
        <x:f>SUM(C27:D27,E27,G27)</x:f>
        <x:v>0.1936584</x:v>
      </x:c>
      <x:c r="J27" s="28" t="n">
        <x:f>SUM(C27:D27,F27,H27)</x:f>
        <x:v>0.4090936000000001</x:v>
      </x:c>
    </x:row>
    <x:row r="28" ht="23" customHeight="1">
      <x:c r="A28" s="16" t="str">
        <x:v>Claude Haiku 4.5</x:v>
      </x:c>
      <x:c r="B28" s="16" t="str">
        <x:v>Baja</x:v>
      </x:c>
      <x:c r="C28" s="32" t="n">
        <x:f>IF(AND('Configuración'!$B$24="OK",COUNT('Tarifas'!$B$13,'Tarifas'!$C$13)=2),('Tokens'!C7*'Tarifas'!$B$13+'Tokens'!D7*'Tarifas'!$C$13)/1000000*'Configuración'!$B$7*(1+'Configuración'!$B$8)*1*'Configuración'!$B$6,NA())</x:f>
        <x:v>0.008715</x:v>
      </x:c>
      <x:c r="D2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28" s="32" t="n">
        <x:f>IF(AND('Configuración'!$B$24="OK",COUNT('Tarifas'!$B$13,'Tarifas'!$C$13)=2),('Tokens'!C8*'Tarifas'!$B$13+'Tokens'!D8*'Tarifas'!$C$13)/1000000*'Configuración'!$B$7*(1+'Configuración'!$B$8)*1,NA())</x:f>
        <x:v>0.0156488</x:v>
      </x:c>
      <x:c r="F28" s="32" t="n">
        <x:f>IF(AND('Configuración'!$B$24="OK",COUNT('Tarifas'!$B$13,'Tarifas'!$C$13)=2),('Tokens'!C9*'Tarifas'!$B$13+'Tokens'!D9*'Tarifas'!$C$13)/1000000*'Configuración'!$B$7*(1+'Configuración'!$B$8)*1,NA())</x:f>
        <x:v>0.017551599999999997</x:v>
      </x:c>
      <x:c r="G28" s="32" t="n">
        <x:f>IF(AND('Configuración'!$B$24="OK",COUNT('Tarifas'!$B$13,'Tarifas'!$C$13)=2),('Tokens'!C10*'Tarifas'!$B$13+'Tokens'!D10*'Tarifas'!$C$13)/1000000*'Configuración'!$B$7*(1+'Configuración'!$B$8)*1,NA())</x:f>
        <x:v>0.0023962000000000007</x:v>
      </x:c>
      <x:c r="H28" s="32" t="n">
        <x:f>IF(AND('Configuración'!$B$24="OK",COUNT('Tarifas'!$B$13,'Tarifas'!$C$13)=2),('Tokens'!C11*'Tarifas'!$B$13+'Tokens'!D11*'Tarifas'!$C$13)/1000000*'Configuración'!$B$7*(1+'Configuración'!$B$8)*1,NA())</x:f>
        <x:v>0.0022566000000000005</x:v>
      </x:c>
      <x:c r="I28" s="30" t="n">
        <x:f>SUM(C28:D28,E28,G28)</x:f>
        <x:v>0.026761</x:v>
      </x:c>
      <x:c r="J28" s="30" t="n">
        <x:f>SUM(C28:D28,F28,H28)</x:f>
        <x:v>0.028524199999999996</x:v>
      </x:c>
    </x:row>
    <x:row r="29" ht="23" customHeight="1">
      <x:c r="A29" s="2" t="str">
        <x:v>Claude Haiku 4.5</x:v>
      </x:c>
      <x:c r="B29" s="2" t="str">
        <x:v>Media</x:v>
      </x:c>
      <x:c r="C29" s="31" t="n">
        <x:f>IF(AND('Configuración'!$B$24="OK",COUNT('Tarifas'!$B$13,'Tarifas'!$C$13)=2),('Tokens'!C12*'Tarifas'!$B$13+'Tokens'!D12*'Tarifas'!$C$13)/1000000*'Configuración'!$B$7*(1+'Configuración'!$B$8)*1*'Configuración'!$B$6,NA())</x:f>
        <x:v>0.00915864</x:v>
      </x:c>
      <x:c r="D2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29" s="31" t="n">
        <x:f>IF(AND('Configuración'!$B$24="OK",COUNT('Tarifas'!$B$13,'Tarifas'!$C$13)=2),('Tokens'!C13*'Tarifas'!$B$13+'Tokens'!D13*'Tarifas'!$C$13)/1000000*'Configuración'!$B$7*(1+'Configuración'!$B$8)*1,NA())</x:f>
        <x:v>0.038710919999999996</x:v>
      </x:c>
      <x:c r="F29" s="31" t="n">
        <x:f>IF(AND('Configuración'!$B$24="OK",COUNT('Tarifas'!$B$13,'Tarifas'!$C$13)=2),('Tokens'!C14*'Tarifas'!$B$13+'Tokens'!D14*'Tarifas'!$C$13)/1000000*'Configuración'!$B$7*(1+'Configuración'!$B$8)*1,NA())</x:f>
        <x:v>0.05590436</x:v>
      </x:c>
      <x:c r="G29" s="31" t="n">
        <x:f>IF(AND('Configuración'!$B$24="OK",COUNT('Tarifas'!$B$13,'Tarifas'!$C$13)=2),('Tokens'!C15*'Tarifas'!$B$13+'Tokens'!D15*'Tarifas'!$C$13)/1000000*'Configuración'!$B$7*(1+'Configuración'!$B$8)*1,NA())</x:f>
        <x:v>0.012788639999999999</x:v>
      </x:c>
      <x:c r="H29" s="31" t="n">
        <x:f>IF(AND('Configuración'!$B$24="OK",COUNT('Tarifas'!$B$13,'Tarifas'!$C$13)=2),('Tokens'!C16*'Tarifas'!$B$13+'Tokens'!D16*'Tarifas'!$C$13)/1000000*'Configuración'!$B$7*(1+'Configuración'!$B$8)*1,NA())</x:f>
        <x:v>0.012630320000000002</x:v>
      </x:c>
      <x:c r="I29" s="28" t="n">
        <x:f>SUM(C29:D29,E29,G29)</x:f>
        <x:v>0.06065919999999999</x:v>
      </x:c>
      <x:c r="J29" s="28" t="n">
        <x:f>SUM(C29:D29,F29,H29)</x:f>
        <x:v>0.07769432</x:v>
      </x:c>
    </x:row>
    <x:row r="30" ht="23" customHeight="1">
      <x:c r="A30" s="16" t="str">
        <x:v>Claude Haiku 4.5</x:v>
      </x:c>
      <x:c r="B30" s="16" t="str">
        <x:v>Alta</x:v>
      </x:c>
      <x:c r="C30" s="32" t="n">
        <x:f>IF(AND('Configuración'!$B$24="OK",COUNT('Tarifas'!$B$13,'Tarifas'!$C$13)=2),('Tokens'!C17*'Tarifas'!$B$13+'Tokens'!D17*'Tarifas'!$C$13)/1000000*'Configuración'!$B$7*(1+'Configuración'!$B$8)*1*'Configuración'!$B$6,NA())</x:f>
        <x:v>0.0096551</x:v>
      </x:c>
      <x:c r="D3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30" s="32" t="n">
        <x:f>IF(AND('Configuración'!$B$24="OK",COUNT('Tarifas'!$B$13,'Tarifas'!$C$13)=2),('Tokens'!C18*'Tarifas'!$B$13+'Tokens'!D18*'Tarifas'!$C$13)/1000000*'Configuración'!$B$7*(1+'Configuración'!$B$8)*1,NA())</x:f>
        <x:v>0.060764</x:v>
      </x:c>
      <x:c r="F30" s="32" t="n">
        <x:f>IF(AND('Configuración'!$B$24="OK",COUNT('Tarifas'!$B$13,'Tarifas'!$C$13)=2),('Tokens'!C19*'Tarifas'!$B$13+'Tokens'!D19*'Tarifas'!$C$13)/1000000*'Configuración'!$B$7*(1+'Configuración'!$B$8)*1,NA())</x:f>
        <x:v>0.16527340000000007</x:v>
      </x:c>
      <x:c r="G30" s="32" t="n">
        <x:f>IF(AND('Configuración'!$B$24="OK",COUNT('Tarifas'!$B$13,'Tarifas'!$C$13)=2),('Tokens'!C20*'Tarifas'!$B$13+'Tokens'!D20*'Tarifas'!$C$13)/1000000*'Configuración'!$B$7*(1+'Configuración'!$B$8)*1,NA())</x:f>
        <x:v>0.0243438</x:v>
      </x:c>
      <x:c r="H30" s="32" t="n">
        <x:f>IF(AND('Configuración'!$B$24="OK",COUNT('Tarifas'!$B$13,'Tarifas'!$C$13)=2),('Tokens'!C21*'Tarifas'!$B$13+'Tokens'!D21*'Tarifas'!$C$13)/1000000*'Configuración'!$B$7*(1+'Configuración'!$B$8)*1,NA())</x:f>
        <x:v>0.025452</x:v>
      </x:c>
      <x:c r="I30" s="30" t="n">
        <x:f>SUM(C30:D30,E30,G30)</x:f>
        <x:v>0.0947639</x:v>
      </x:c>
      <x:c r="J30" s="30" t="n">
        <x:f>SUM(C30:D30,F30,H30)</x:f>
        <x:v>0.20038150000000007</x:v>
      </x:c>
    </x:row>
    <x:row r="31" ht="23" customHeight="1">
      <x:c r="A31" s="2" t="str">
        <x:v>Claude Sonnet 5</x:v>
      </x:c>
      <x:c r="B31" s="2" t="str">
        <x:v>Baja</x:v>
      </x:c>
      <x:c r="C31" s="31" t="n">
        <x:f>IF(AND('Configuración'!$B$24="OK",COUNT('Tarifas'!$B$14,'Tarifas'!$C$14)=2),('Tokens'!C7*'Tarifas'!$B$14+'Tokens'!D7*'Tarifas'!$C$14)/1000000*'Configuración'!$B$7*(1+'Configuración'!$B$8)*1*'Configuración'!$B$6,NA())</x:f>
        <x:v>0.01743</x:v>
      </x:c>
      <x:c r="D3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31" s="31" t="n">
        <x:f>IF(AND('Configuración'!$B$24="OK",COUNT('Tarifas'!$B$14,'Tarifas'!$C$14)=2),('Tokens'!C8*'Tarifas'!$B$14+'Tokens'!D8*'Tarifas'!$C$14)/1000000*'Configuración'!$B$7*(1+'Configuración'!$B$8)*1,NA())</x:f>
        <x:v>0.0312976</x:v>
      </x:c>
      <x:c r="F31" s="31" t="n">
        <x:f>IF(AND('Configuración'!$B$24="OK",COUNT('Tarifas'!$B$14,'Tarifas'!$C$14)=2),('Tokens'!C9*'Tarifas'!$B$14+'Tokens'!D9*'Tarifas'!$C$14)/1000000*'Configuración'!$B$7*(1+'Configuración'!$B$8)*1,NA())</x:f>
        <x:v>0.035103199999999994</x:v>
      </x:c>
      <x:c r="G31" s="31" t="n">
        <x:f>IF(AND('Configuración'!$B$24="OK",COUNT('Tarifas'!$B$14,'Tarifas'!$C$14)=2),('Tokens'!C10*'Tarifas'!$B$14+'Tokens'!D10*'Tarifas'!$C$14)/1000000*'Configuración'!$B$7*(1+'Configuración'!$B$8)*1,NA())</x:f>
        <x:v>0.004792400000000001</x:v>
      </x:c>
      <x:c r="H31" s="31" t="n">
        <x:f>IF(AND('Configuración'!$B$24="OK",COUNT('Tarifas'!$B$14,'Tarifas'!$C$14)=2),('Tokens'!C11*'Tarifas'!$B$14+'Tokens'!D11*'Tarifas'!$C$14)/1000000*'Configuración'!$B$7*(1+'Configuración'!$B$8)*1,NA())</x:f>
        <x:v>0.004513200000000001</x:v>
      </x:c>
      <x:c r="I31" s="28" t="n">
        <x:f>SUM(C31:D31,E31,G31)</x:f>
        <x:v>0.053521000000000006</x:v>
      </x:c>
      <x:c r="J31" s="28" t="n">
        <x:f>SUM(C31:D31,F31,H31)</x:f>
        <x:v>0.0570474</x:v>
      </x:c>
    </x:row>
    <x:row r="32" ht="23" customHeight="1">
      <x:c r="A32" s="16" t="str">
        <x:v>Claude Sonnet 5</x:v>
      </x:c>
      <x:c r="B32" s="16" t="str">
        <x:v>Media</x:v>
      </x:c>
      <x:c r="C32" s="32" t="n">
        <x:f>IF(AND('Configuración'!$B$24="OK",COUNT('Tarifas'!$B$14,'Tarifas'!$C$14)=2),('Tokens'!C12*'Tarifas'!$B$14+'Tokens'!D12*'Tarifas'!$C$14)/1000000*'Configuración'!$B$7*(1+'Configuración'!$B$8)*1*'Configuración'!$B$6,NA())</x:f>
        <x:v>0.01831728</x:v>
      </x:c>
      <x:c r="D3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32" s="32" t="n">
        <x:f>IF(AND('Configuración'!$B$24="OK",COUNT('Tarifas'!$B$14,'Tarifas'!$C$14)=2),('Tokens'!C13*'Tarifas'!$B$14+'Tokens'!D13*'Tarifas'!$C$14)/1000000*'Configuración'!$B$7*(1+'Configuración'!$B$8)*1,NA())</x:f>
        <x:v>0.07742183999999999</x:v>
      </x:c>
      <x:c r="F32" s="32" t="n">
        <x:f>IF(AND('Configuración'!$B$24="OK",COUNT('Tarifas'!$B$14,'Tarifas'!$C$14)=2),('Tokens'!C14*'Tarifas'!$B$14+'Tokens'!D14*'Tarifas'!$C$14)/1000000*'Configuración'!$B$7*(1+'Configuración'!$B$8)*1,NA())</x:f>
        <x:v>0.11180872</x:v>
      </x:c>
      <x:c r="G32" s="32" t="n">
        <x:f>IF(AND('Configuración'!$B$24="OK",COUNT('Tarifas'!$B$14,'Tarifas'!$C$14)=2),('Tokens'!C15*'Tarifas'!$B$14+'Tokens'!D15*'Tarifas'!$C$14)/1000000*'Configuración'!$B$7*(1+'Configuración'!$B$8)*1,NA())</x:f>
        <x:v>0.025577279999999997</x:v>
      </x:c>
      <x:c r="H32" s="32" t="n">
        <x:f>IF(AND('Configuración'!$B$24="OK",COUNT('Tarifas'!$B$14,'Tarifas'!$C$14)=2),('Tokens'!C16*'Tarifas'!$B$14+'Tokens'!D16*'Tarifas'!$C$14)/1000000*'Configuración'!$B$7*(1+'Configuración'!$B$8)*1,NA())</x:f>
        <x:v>0.025260640000000004</x:v>
      </x:c>
      <x:c r="I32" s="30" t="n">
        <x:f>SUM(C32:D32,E32,G32)</x:f>
        <x:v>0.12131739999999998</x:v>
      </x:c>
      <x:c r="J32" s="30" t="n">
        <x:f>SUM(C32:D32,F32,H32)</x:f>
        <x:v>0.15538764</x:v>
      </x:c>
    </x:row>
    <x:row r="33" ht="23" customHeight="1">
      <x:c r="A33" s="2" t="str">
        <x:v>Claude Sonnet 5</x:v>
      </x:c>
      <x:c r="B33" s="2" t="str">
        <x:v>Alta</x:v>
      </x:c>
      <x:c r="C33" s="31" t="n">
        <x:f>IF(AND('Configuración'!$B$24="OK",COUNT('Tarifas'!$B$14,'Tarifas'!$C$14)=2),('Tokens'!C17*'Tarifas'!$B$14+'Tokens'!D17*'Tarifas'!$C$14)/1000000*'Configuración'!$B$7*(1+'Configuración'!$B$8)*1*'Configuración'!$B$6,NA())</x:f>
        <x:v>0.0193102</x:v>
      </x:c>
      <x:c r="D3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33" s="31" t="n">
        <x:f>IF(AND('Configuración'!$B$24="OK",COUNT('Tarifas'!$B$14,'Tarifas'!$C$14)=2),('Tokens'!C18*'Tarifas'!$B$14+'Tokens'!D18*'Tarifas'!$C$14)/1000000*'Configuración'!$B$7*(1+'Configuración'!$B$8)*1,NA())</x:f>
        <x:v>0.121528</x:v>
      </x:c>
      <x:c r="F33" s="31" t="n">
        <x:f>IF(AND('Configuración'!$B$24="OK",COUNT('Tarifas'!$B$14,'Tarifas'!$C$14)=2),('Tokens'!C19*'Tarifas'!$B$14+'Tokens'!D19*'Tarifas'!$C$14)/1000000*'Configuración'!$B$7*(1+'Configuración'!$B$8)*1,NA())</x:f>
        <x:v>0.33054680000000014</x:v>
      </x:c>
      <x:c r="G33" s="31" t="n">
        <x:f>IF(AND('Configuración'!$B$24="OK",COUNT('Tarifas'!$B$14,'Tarifas'!$C$14)=2),('Tokens'!C20*'Tarifas'!$B$14+'Tokens'!D20*'Tarifas'!$C$14)/1000000*'Configuración'!$B$7*(1+'Configuración'!$B$8)*1,NA())</x:f>
        <x:v>0.0486876</x:v>
      </x:c>
      <x:c r="H33" s="31" t="n">
        <x:f>IF(AND('Configuración'!$B$24="OK",COUNT('Tarifas'!$B$14,'Tarifas'!$C$14)=2),('Tokens'!C21*'Tarifas'!$B$14+'Tokens'!D21*'Tarifas'!$C$14)/1000000*'Configuración'!$B$7*(1+'Configuración'!$B$8)*1,NA())</x:f>
        <x:v>0.050904</x:v>
      </x:c>
      <x:c r="I33" s="28" t="n">
        <x:f>SUM(C33:D33,E33,G33)</x:f>
        <x:v>0.1895268</x:v>
      </x:c>
      <x:c r="J33" s="28" t="n">
        <x:f>SUM(C33:D33,F33,H33)</x:f>
        <x:v>0.4007620000000001</x:v>
      </x:c>
    </x:row>
    <x:row r="34" ht="23" customHeight="1">
      <x:c r="A34" s="16" t="str">
        <x:v>DeepSeek Flash (punta)</x:v>
      </x:c>
      <x:c r="B34" s="16" t="str">
        <x:v>Baja</x:v>
      </x:c>
      <x:c r="C34" s="32" t="n">
        <x:f>IF(AND('Configuración'!$B$24="OK",COUNT('Tarifas'!$B$15,'Tarifas'!$C$15)=2),('Tokens'!C7*'Tarifas'!$B$15+'Tokens'!D7*'Tarifas'!$C$15)/1000000*'Configuración'!$B$7*(1+'Configuración'!$B$8)*1*'Configuración'!$B$6,NA())</x:f>
        <x:v>0.0025782599999999998</x:v>
      </x:c>
      <x:c r="D3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34" s="32" t="n">
        <x:f>IF(AND('Configuración'!$B$24="OK",COUNT('Tarifas'!$B$15,'Tarifas'!$C$15)=2),('Tokens'!C8*'Tarifas'!$B$15+'Tokens'!D8*'Tarifas'!$C$15)/1000000*'Configuración'!$B$7*(1+'Configuración'!$B$8)*1,NA())</x:f>
        <x:v>0.00466842</x:v>
      </x:c>
      <x:c r="F34" s="32" t="n">
        <x:f>IF(AND('Configuración'!$B$24="OK",COUNT('Tarifas'!$B$15,'Tarifas'!$C$15)=2),('Tokens'!C9*'Tarifas'!$B$15+'Tokens'!D9*'Tarifas'!$C$15)/1000000*'Configuración'!$B$7*(1+'Configuración'!$B$8)*1,NA())</x:f>
        <x:v>0.005219099999999998</x:v>
      </x:c>
      <x:c r="G34" s="32" t="n">
        <x:f>IF(AND('Configuración'!$B$24="OK",COUNT('Tarifas'!$B$15,'Tarifas'!$C$15)=2),('Tokens'!C10*'Tarifas'!$B$15+'Tokens'!D10*'Tarifas'!$C$15)/1000000*'Configuración'!$B$7*(1+'Configuración'!$B$8)*1,NA())</x:f>
        <x:v>0.0006726600000000002</x:v>
      </x:c>
      <x:c r="H34" s="32" t="n">
        <x:f>IF(AND('Configuración'!$B$24="OK",COUNT('Tarifas'!$B$15,'Tarifas'!$C$15)=2),('Tokens'!C11*'Tarifas'!$B$15+'Tokens'!D11*'Tarifas'!$C$15)/1000000*'Configuración'!$B$7*(1+'Configuración'!$B$8)*1,NA())</x:f>
        <x:v>0.0006265200000000001</x:v>
      </x:c>
      <x:c r="I34" s="30" t="n">
        <x:f>SUM(C34:D34,E34,G34)</x:f>
        <x:v>0.00792034</x:v>
      </x:c>
      <x:c r="J34" s="30" t="n">
        <x:f>SUM(C34:D34,F34,H34)</x:f>
        <x:v>0.008424879999999997</x:v>
      </x:c>
    </x:row>
    <x:row r="35" ht="23" customHeight="1">
      <x:c r="A35" s="2" t="str">
        <x:v>DeepSeek Flash (punta)</x:v>
      </x:c>
      <x:c r="B35" s="2" t="str">
        <x:v>Media</x:v>
      </x:c>
      <x:c r="C35" s="31" t="n">
        <x:f>IF(AND('Configuración'!$B$24="OK",COUNT('Tarifas'!$B$15,'Tarifas'!$C$15)=2),('Tokens'!C12*'Tarifas'!$B$15+'Tokens'!D12*'Tarifas'!$C$15)/1000000*'Configuración'!$B$7*(1+'Configuración'!$B$8)*1*'Configuración'!$B$6,NA())</x:f>
        <x:v>0.0026849939999999996</x:v>
      </x:c>
      <x:c r="D3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35" s="31" t="n">
        <x:f>IF(AND('Configuración'!$B$24="OK",COUNT('Tarifas'!$B$15,'Tarifas'!$C$15)=2),('Tokens'!C13*'Tarifas'!$B$15+'Tokens'!D13*'Tarifas'!$C$15)/1000000*'Configuración'!$B$7*(1+'Configuración'!$B$8)*1,NA())</x:f>
        <x:v>0.011502395999999998</x:v>
      </x:c>
      <x:c r="F35" s="31" t="n">
        <x:f>IF(AND('Configuración'!$B$24="OK",COUNT('Tarifas'!$B$15,'Tarifas'!$C$15)=2),('Tokens'!C14*'Tarifas'!$B$15+'Tokens'!D14*'Tarifas'!$C$15)/1000000*'Configuración'!$B$7*(1+'Configuración'!$B$8)*1,NA())</x:f>
        <x:v>0.016431059999999997</x:v>
      </x:c>
      <x:c r="G35" s="31" t="n">
        <x:f>IF(AND('Configuración'!$B$24="OK",COUNT('Tarifas'!$B$15,'Tarifas'!$C$15)=2),('Tokens'!C15*'Tarifas'!$B$15+'Tokens'!D15*'Tarifas'!$C$15)/1000000*'Configuración'!$B$7*(1+'Configuración'!$B$8)*1,NA())</x:f>
        <x:v>0.003669492</x:v>
      </x:c>
      <x:c r="H35" s="31" t="n">
        <x:f>IF(AND('Configuración'!$B$24="OK",COUNT('Tarifas'!$B$15,'Tarifas'!$C$15)=2),('Tokens'!C16*'Tarifas'!$B$15+'Tokens'!D16*'Tarifas'!$C$15)/1000000*'Configuración'!$B$7*(1+'Configuración'!$B$8)*1,NA())</x:f>
        <x:v>0.0036591840000000002</x:v>
      </x:c>
      <x:c r="I35" s="28" t="n">
        <x:f>SUM(C35:D35,E35,G35)</x:f>
        <x:v>0.017857882</x:v>
      </x:c>
      <x:c r="J35" s="28" t="n">
        <x:f>SUM(C35:D35,F35,H35)</x:f>
        <x:v>0.022776237999999997</x:v>
      </x:c>
    </x:row>
    <x:row r="36" ht="23" customHeight="1">
      <x:c r="A36" s="16" t="str">
        <x:v>DeepSeek Flash (punta)</x:v>
      </x:c>
      <x:c r="B36" s="16" t="str">
        <x:v>Alta</x:v>
      </x:c>
      <x:c r="C36" s="32" t="n">
        <x:f>IF(AND('Configuración'!$B$24="OK",COUNT('Tarifas'!$B$15,'Tarifas'!$C$15)=2),('Tokens'!C17*'Tarifas'!$B$15+'Tokens'!D17*'Tarifas'!$C$15)/1000000*'Configuración'!$B$7*(1+'Configuración'!$B$8)*1*'Configuración'!$B$6,NA())</x:f>
        <x:v>0.00280443</x:v>
      </x:c>
      <x:c r="D36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36" s="32" t="n">
        <x:f>IF(AND('Configuración'!$B$24="OK",COUNT('Tarifas'!$B$15,'Tarifas'!$C$15)=2),('Tokens'!C18*'Tarifas'!$B$15+'Tokens'!D18*'Tarifas'!$C$15)/1000000*'Configuración'!$B$7*(1+'Configuración'!$B$8)*1,NA())</x:f>
        <x:v>0.017999339999999996</x:v>
      </x:c>
      <x:c r="F36" s="32" t="n">
        <x:f>IF(AND('Configuración'!$B$24="OK",COUNT('Tarifas'!$B$15,'Tarifas'!$C$15)=2),('Tokens'!C19*'Tarifas'!$B$15+'Tokens'!D19*'Tarifas'!$C$15)/1000000*'Configuración'!$B$7*(1+'Configuración'!$B$8)*1,NA())</x:f>
        <x:v>0.04865568000000002</x:v>
      </x:c>
      <x:c r="G36" s="32" t="n">
        <x:f>IF(AND('Configuración'!$B$24="OK",COUNT('Tarifas'!$B$15,'Tarifas'!$C$15)=2),('Tokens'!C20*'Tarifas'!$B$15+'Tokens'!D20*'Tarifas'!$C$15)/1000000*'Configuración'!$B$7*(1+'Configuración'!$B$8)*1,NA())</x:f>
        <x:v>0.0070053599999999995</x:v>
      </x:c>
      <x:c r="H36" s="32" t="n">
        <x:f>IF(AND('Configuración'!$B$24="OK",COUNT('Tarifas'!$B$15,'Tarifas'!$C$15)=2),('Tokens'!C21*'Tarifas'!$B$15+'Tokens'!D21*'Tarifas'!$C$15)/1000000*'Configuración'!$B$7*(1+'Configuración'!$B$8)*1,NA())</x:f>
        <x:v>0.007404299999999999</x:v>
      </x:c>
      <x:c r="I36" s="30" t="n">
        <x:f>SUM(C36:D36,E36,G36)</x:f>
        <x:v>0.027810129999999995</x:v>
      </x:c>
      <x:c r="J36" s="30" t="n">
        <x:f>SUM(C36:D36,F36,H36)</x:f>
        <x:v>0.05886541000000002</x:v>
      </x:c>
    </x:row>
    <x:row r="37" ht="23" customHeight="1">
      <x:c r="A37" s="2" t="str">
        <x:v>DeepSeek Flash (valle)</x:v>
      </x:c>
      <x:c r="B37" s="2" t="str">
        <x:v>Baja</x:v>
      </x:c>
      <x:c r="C37" s="31" t="n">
        <x:f>IF(AND('Configuración'!$B$24="OK",COUNT('Tarifas'!$B$16,'Tarifas'!$C$16)=2),('Tokens'!C7*'Tarifas'!$B$16+'Tokens'!D7*'Tarifas'!$C$16)/1000000*'Configuración'!$B$7*(1+'Configuración'!$B$8)*1*'Configuración'!$B$6,NA())</x:f>
        <x:v>0.0012891299999999999</x:v>
      </x:c>
      <x:c r="D3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37" s="31" t="n">
        <x:f>IF(AND('Configuración'!$B$24="OK",COUNT('Tarifas'!$B$16,'Tarifas'!$C$16)=2),('Tokens'!C8*'Tarifas'!$B$16+'Tokens'!D8*'Tarifas'!$C$16)/1000000*'Configuración'!$B$7*(1+'Configuración'!$B$8)*1,NA())</x:f>
        <x:v>0.00233421</x:v>
      </x:c>
      <x:c r="F37" s="31" t="n">
        <x:f>IF(AND('Configuración'!$B$24="OK",COUNT('Tarifas'!$B$16,'Tarifas'!$C$16)=2),('Tokens'!C9*'Tarifas'!$B$16+'Tokens'!D9*'Tarifas'!$C$16)/1000000*'Configuración'!$B$7*(1+'Configuración'!$B$8)*1,NA())</x:f>
        <x:v>0.002609549999999999</x:v>
      </x:c>
      <x:c r="G37" s="31" t="n">
        <x:f>IF(AND('Configuración'!$B$24="OK",COUNT('Tarifas'!$B$16,'Tarifas'!$C$16)=2),('Tokens'!C10*'Tarifas'!$B$16+'Tokens'!D10*'Tarifas'!$C$16)/1000000*'Configuración'!$B$7*(1+'Configuración'!$B$8)*1,NA())</x:f>
        <x:v>0.0003363300000000001</x:v>
      </x:c>
      <x:c r="H37" s="31" t="n">
        <x:f>IF(AND('Configuración'!$B$24="OK",COUNT('Tarifas'!$B$16,'Tarifas'!$C$16)=2),('Tokens'!C11*'Tarifas'!$B$16+'Tokens'!D11*'Tarifas'!$C$16)/1000000*'Configuración'!$B$7*(1+'Configuración'!$B$8)*1,NA())</x:f>
        <x:v>0.00031326000000000005</x:v>
      </x:c>
      <x:c r="I37" s="28" t="n">
        <x:f>SUM(C37:D37,E37,G37)</x:f>
        <x:v>0.00396067</x:v>
      </x:c>
      <x:c r="J37" s="28" t="n">
        <x:f>SUM(C37:D37,F37,H37)</x:f>
        <x:v>0.004212939999999999</x:v>
      </x:c>
    </x:row>
    <x:row r="38" ht="23" customHeight="1">
      <x:c r="A38" s="16" t="str">
        <x:v>DeepSeek Flash (valle)</x:v>
      </x:c>
      <x:c r="B38" s="16" t="str">
        <x:v>Media</x:v>
      </x:c>
      <x:c r="C38" s="32" t="n">
        <x:f>IF(AND('Configuración'!$B$24="OK",COUNT('Tarifas'!$B$16,'Tarifas'!$C$16)=2),('Tokens'!C12*'Tarifas'!$B$16+'Tokens'!D12*'Tarifas'!$C$16)/1000000*'Configuración'!$B$7*(1+'Configuración'!$B$8)*1*'Configuración'!$B$6,NA())</x:f>
        <x:v>0.0013424969999999998</x:v>
      </x:c>
      <x:c r="D3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38" s="32" t="n">
        <x:f>IF(AND('Configuración'!$B$24="OK",COUNT('Tarifas'!$B$16,'Tarifas'!$C$16)=2),('Tokens'!C13*'Tarifas'!$B$16+'Tokens'!D13*'Tarifas'!$C$16)/1000000*'Configuración'!$B$7*(1+'Configuración'!$B$8)*1,NA())</x:f>
        <x:v>0.005751197999999999</x:v>
      </x:c>
      <x:c r="F38" s="32" t="n">
        <x:f>IF(AND('Configuración'!$B$24="OK",COUNT('Tarifas'!$B$16,'Tarifas'!$C$16)=2),('Tokens'!C14*'Tarifas'!$B$16+'Tokens'!D14*'Tarifas'!$C$16)/1000000*'Configuración'!$B$7*(1+'Configuración'!$B$8)*1,NA())</x:f>
        <x:v>0.008215529999999999</x:v>
      </x:c>
      <x:c r="G38" s="32" t="n">
        <x:f>IF(AND('Configuración'!$B$24="OK",COUNT('Tarifas'!$B$16,'Tarifas'!$C$16)=2),('Tokens'!C15*'Tarifas'!$B$16+'Tokens'!D15*'Tarifas'!$C$16)/1000000*'Configuración'!$B$7*(1+'Configuración'!$B$8)*1,NA())</x:f>
        <x:v>0.001834746</x:v>
      </x:c>
      <x:c r="H38" s="32" t="n">
        <x:f>IF(AND('Configuración'!$B$24="OK",COUNT('Tarifas'!$B$16,'Tarifas'!$C$16)=2),('Tokens'!C16*'Tarifas'!$B$16+'Tokens'!D16*'Tarifas'!$C$16)/1000000*'Configuración'!$B$7*(1+'Configuración'!$B$8)*1,NA())</x:f>
        <x:v>0.0018295920000000001</x:v>
      </x:c>
      <x:c r="I38" s="30" t="n">
        <x:f>SUM(C38:D38,E38,G38)</x:f>
        <x:v>0.008929441</x:v>
      </x:c>
      <x:c r="J38" s="30" t="n">
        <x:f>SUM(C38:D38,F38,H38)</x:f>
        <x:v>0.011388618999999997</x:v>
      </x:c>
    </x:row>
    <x:row r="39" ht="23" customHeight="1">
      <x:c r="A39" s="2" t="str">
        <x:v>DeepSeek Flash (valle)</x:v>
      </x:c>
      <x:c r="B39" s="2" t="str">
        <x:v>Alta</x:v>
      </x:c>
      <x:c r="C39" s="31" t="n">
        <x:f>IF(AND('Configuración'!$B$24="OK",COUNT('Tarifas'!$B$16,'Tarifas'!$C$16)=2),('Tokens'!C17*'Tarifas'!$B$16+'Tokens'!D17*'Tarifas'!$C$16)/1000000*'Configuración'!$B$7*(1+'Configuración'!$B$8)*1*'Configuración'!$B$6,NA())</x:f>
        <x:v>0.001402215</x:v>
      </x:c>
      <x:c r="D3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39" s="31" t="n">
        <x:f>IF(AND('Configuración'!$B$24="OK",COUNT('Tarifas'!$B$16,'Tarifas'!$C$16)=2),('Tokens'!C18*'Tarifas'!$B$16+'Tokens'!D18*'Tarifas'!$C$16)/1000000*'Configuración'!$B$7*(1+'Configuración'!$B$8)*1,NA())</x:f>
        <x:v>0.008999669999999998</x:v>
      </x:c>
      <x:c r="F39" s="31" t="n">
        <x:f>IF(AND('Configuración'!$B$24="OK",COUNT('Tarifas'!$B$16,'Tarifas'!$C$16)=2),('Tokens'!C19*'Tarifas'!$B$16+'Tokens'!D19*'Tarifas'!$C$16)/1000000*'Configuración'!$B$7*(1+'Configuración'!$B$8)*1,NA())</x:f>
        <x:v>0.02432784000000001</x:v>
      </x:c>
      <x:c r="G39" s="31" t="n">
        <x:f>IF(AND('Configuración'!$B$24="OK",COUNT('Tarifas'!$B$16,'Tarifas'!$C$16)=2),('Tokens'!C20*'Tarifas'!$B$16+'Tokens'!D20*'Tarifas'!$C$16)/1000000*'Configuración'!$B$7*(1+'Configuración'!$B$8)*1,NA())</x:f>
        <x:v>0.0035026799999999998</x:v>
      </x:c>
      <x:c r="H39" s="31" t="n">
        <x:f>IF(AND('Configuración'!$B$24="OK",COUNT('Tarifas'!$B$16,'Tarifas'!$C$16)=2),('Tokens'!C21*'Tarifas'!$B$16+'Tokens'!D21*'Tarifas'!$C$16)/1000000*'Configuración'!$B$7*(1+'Configuración'!$B$8)*1,NA())</x:f>
        <x:v>0.0037021499999999995</x:v>
      </x:c>
      <x:c r="I39" s="28" t="n">
        <x:f>SUM(C39:D39,E39,G39)</x:f>
        <x:v>0.013905564999999996</x:v>
      </x:c>
      <x:c r="J39" s="28" t="n">
        <x:f>SUM(C39:D39,F39,H39)</x:f>
        <x:v>0.02943320500000001</x:v>
      </x:c>
    </x:row>
    <x:row r="40" ht="23" customHeight="1">
      <x:c r="A40" s="16" t="str">
        <x:v>GLM-4.7-FlashX</x:v>
      </x:c>
      <x:c r="B40" s="16" t="str">
        <x:v>Baja</x:v>
      </x:c>
      <x:c r="C40" s="32" t="n">
        <x:f>IF(AND('Configuración'!$B$24="OK",COUNT('Tarifas'!$B$17,'Tarifas'!$C$17)=2),('Tokens'!C7*'Tarifas'!$B$17+'Tokens'!D7*'Tarifas'!$C$17)/1000000*'Configuración'!$B$7*(1+'Configuración'!$B$8)*1*'Configuración'!$B$6,NA())</x:f>
        <x:v>0.0006160900000000001</x:v>
      </x:c>
      <x:c r="D4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40" s="32" t="n">
        <x:f>IF(AND('Configuración'!$B$24="OK",COUNT('Tarifas'!$B$17,'Tarifas'!$C$17)=2),('Tokens'!C8*'Tarifas'!$B$17+'Tokens'!D8*'Tarifas'!$C$17)/1000000*'Configuración'!$B$7*(1+'Configuración'!$B$8)*1,NA())</x:f>
        <x:v>0.0010997860000000004</x:v>
      </x:c>
      <x:c r="F40" s="32" t="n">
        <x:f>IF(AND('Configuración'!$B$24="OK",COUNT('Tarifas'!$B$17,'Tarifas'!$C$17)=2),('Tokens'!C9*'Tarifas'!$B$17+'Tokens'!D9*'Tarifas'!$C$17)/1000000*'Configuración'!$B$7*(1+'Configuración'!$B$8)*1,NA())</x:f>
        <x:v>0.0012363419999999999</x:v>
      </x:c>
      <x:c r="G40" s="32" t="n">
        <x:f>IF(AND('Configuración'!$B$24="OK",COUNT('Tarifas'!$B$17,'Tarifas'!$C$17)=2),('Tokens'!C10*'Tarifas'!$B$17+'Tokens'!D10*'Tarifas'!$C$17)/1000000*'Configuración'!$B$7*(1+'Configuración'!$B$8)*1,NA())</x:f>
        <x:v>0.00017543400000000006</x:v>
      </x:c>
      <x:c r="H40" s="32" t="n">
        <x:f>IF(AND('Configuración'!$B$24="OK",COUNT('Tarifas'!$B$17,'Tarifas'!$C$17)=2),('Tokens'!C11*'Tarifas'!$B$17+'Tokens'!D11*'Tarifas'!$C$17)/1000000*'Configuración'!$B$7*(1+'Configuración'!$B$8)*1,NA())</x:f>
        <x:v>0.00016637200000000005</x:v>
      </x:c>
      <x:c r="I40" s="30" t="n">
        <x:f>SUM(C40:D40,E40,G40)</x:f>
        <x:v>0.0018923100000000006</x:v>
      </x:c>
      <x:c r="J40" s="30" t="n">
        <x:f>SUM(C40:D40,F40,H40)</x:f>
        <x:v>0.002019804</x:v>
      </x:c>
    </x:row>
    <x:row r="41" ht="23" customHeight="1">
      <x:c r="A41" s="2" t="str">
        <x:v>GLM-4.7-FlashX</x:v>
      </x:c>
      <x:c r="B41" s="2" t="str">
        <x:v>Media</x:v>
      </x:c>
      <x:c r="C41" s="31" t="n">
        <x:f>IF(AND('Configuración'!$B$24="OK",COUNT('Tarifas'!$B$17,'Tarifas'!$C$17)=2),('Tokens'!C12*'Tarifas'!$B$17+'Tokens'!D12*'Tarifas'!$C$17)/1000000*'Configuración'!$B$7*(1+'Configuración'!$B$8)*1*'Configuración'!$B$6,NA())</x:f>
        <x:v>0.0006515378</x:v>
      </x:c>
      <x:c r="D4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41" s="31" t="n">
        <x:f>IF(AND('Configuración'!$B$24="OK",COUNT('Tarifas'!$B$17,'Tarifas'!$C$17)=2),('Tokens'!C13*'Tarifas'!$B$17+'Tokens'!D13*'Tarifas'!$C$17)/1000000*'Configuración'!$B$7*(1+'Configuración'!$B$8)*1,NA())</x:f>
        <x:v>0.0027282444</x:v>
      </x:c>
      <x:c r="F41" s="31" t="n">
        <x:f>IF(AND('Configuración'!$B$24="OK",COUNT('Tarifas'!$B$17,'Tarifas'!$C$17)=2),('Tokens'!C14*'Tarifas'!$B$17+'Tokens'!D14*'Tarifas'!$C$17)/1000000*'Configuración'!$B$7*(1+'Configuración'!$B$8)*1,NA())</x:f>
        <x:v>0.003970013200000001</x:v>
      </x:c>
      <x:c r="G41" s="31" t="n">
        <x:f>IF(AND('Configuración'!$B$24="OK",COUNT('Tarifas'!$B$17,'Tarifas'!$C$17)=2),('Tokens'!C15*'Tarifas'!$B$17+'Tokens'!D15*'Tarifas'!$C$17)/1000000*'Configuración'!$B$7*(1+'Configuración'!$B$8)*1,NA())</x:f>
        <x:v>0.0009230548000000001</x:v>
      </x:c>
      <x:c r="H41" s="31" t="n">
        <x:f>IF(AND('Configuración'!$B$24="OK",COUNT('Tarifas'!$B$17,'Tarifas'!$C$17)=2),('Tokens'!C16*'Tarifas'!$B$17+'Tokens'!D16*'Tarifas'!$C$17)/1000000*'Configuración'!$B$7*(1+'Configuración'!$B$8)*1,NA())</x:f>
        <x:v>0.0009057744000000002</x:v>
      </x:c>
      <x:c r="I41" s="28" t="n">
        <x:f>SUM(C41:D41,E41,G41)</x:f>
        <x:v>0.0043038370000000005</x:v>
      </x:c>
      <x:c r="J41" s="28" t="n">
        <x:f>SUM(C41:D41,F41,H41)</x:f>
        <x:v>0.005528325400000001</x:v>
      </x:c>
    </x:row>
    <x:row r="42" ht="23" customHeight="1">
      <x:c r="A42" s="16" t="str">
        <x:v>GLM-4.7-FlashX</x:v>
      </x:c>
      <x:c r="B42" s="16" t="str">
        <x:v>Alta</x:v>
      </x:c>
      <x:c r="C42" s="32" t="n">
        <x:f>IF(AND('Configuración'!$B$24="OK",COUNT('Tarifas'!$B$17,'Tarifas'!$C$17)=2),('Tokens'!C17*'Tarifas'!$B$17+'Tokens'!D17*'Tarifas'!$C$17)/1000000*'Configuración'!$B$7*(1+'Configuración'!$B$8)*1*'Configuración'!$B$6,NA())</x:f>
        <x:v>0.0006912070000000001</x:v>
      </x:c>
      <x:c r="D4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42" s="32" t="n">
        <x:f>IF(AND('Configuración'!$B$24="OK",COUNT('Tarifas'!$B$17,'Tarifas'!$C$17)=2),('Tokens'!C18*'Tarifas'!$B$17+'Tokens'!D18*'Tarifas'!$C$17)/1000000*'Configuración'!$B$7*(1+'Configuración'!$B$8)*1,NA())</x:f>
        <x:v>0.004291790000000001</x:v>
      </x:c>
      <x:c r="F42" s="32" t="n">
        <x:f>IF(AND('Configuración'!$B$24="OK",COUNT('Tarifas'!$B$17,'Tarifas'!$C$17)=2),('Tokens'!C19*'Tarifas'!$B$17+'Tokens'!D19*'Tarifas'!$C$17)/1000000*'Configuración'!$B$7*(1+'Configuración'!$B$8)*1,NA())</x:f>
        <x:v>0.011723528000000007</x:v>
      </x:c>
      <x:c r="G42" s="32" t="n">
        <x:f>IF(AND('Configuración'!$B$24="OK",COUNT('Tarifas'!$B$17,'Tarifas'!$C$17)=2),('Tokens'!C20*'Tarifas'!$B$17+'Tokens'!D20*'Tarifas'!$C$17)/1000000*'Configuración'!$B$7*(1+'Configuración'!$B$8)*1,NA())</x:f>
        <x:v>0.0017536960000000003</x:v>
      </x:c>
      <x:c r="H42" s="32" t="n">
        <x:f>IF(AND('Configuración'!$B$24="OK",COUNT('Tarifas'!$B$17,'Tarifas'!$C$17)=2),('Tokens'!C21*'Tarifas'!$B$17+'Tokens'!D21*'Tarifas'!$C$17)/1000000*'Configuración'!$B$7*(1+'Configuración'!$B$8)*1,NA())</x:f>
        <x:v>0.0018201900000000002</x:v>
      </x:c>
      <x:c r="I42" s="30" t="n">
        <x:f>SUM(C42:D42,E42,G42)</x:f>
        <x:v>0.006737693000000001</x:v>
      </x:c>
      <x:c r="J42" s="30" t="n">
        <x:f>SUM(C42:D42,F42,H42)</x:f>
        <x:v>0.014235925000000007</x:v>
      </x:c>
    </x:row>
    <x:row r="43" ht="23" customHeight="1">
      <x:c r="A43" s="2" t="str">
        <x:v>GLM-5.3-Flash</x:v>
      </x:c>
      <x:c r="B43" s="2" t="str">
        <x:v>Baja</x:v>
      </x:c>
      <x:c r="C43" s="31" t="n">
        <x:f>IF(AND('Configuración'!$B$24="OK",COUNT('Tarifas'!$B$18,'Tarifas'!$C$18)=2),('Tokens'!C7*'Tarifas'!$B$18+'Tokens'!D7*'Tarifas'!$C$18)/1000000*'Configuración'!$B$7*(1+'Configuración'!$B$8)*1*'Configuración'!$B$6,NA())</x:f>
        <x:v>0.00127705</x:v>
      </x:c>
      <x:c r="D4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43" s="31" t="n">
        <x:f>IF(AND('Configuración'!$B$24="OK",COUNT('Tarifas'!$B$18,'Tarifas'!$C$18)=2),('Tokens'!C8*'Tarifas'!$B$18+'Tokens'!D8*'Tarifas'!$C$18)/1000000*'Configuración'!$B$7*(1+'Configuración'!$B$8)*1,NA())</x:f>
        <x:v>0.0023254699999999996</x:v>
      </x:c>
      <x:c r="F43" s="31" t="n">
        <x:f>IF(AND('Configuración'!$B$24="OK",COUNT('Tarifas'!$B$18,'Tarifas'!$C$18)=2),('Tokens'!C9*'Tarifas'!$B$18+'Tokens'!D9*'Tarifas'!$C$18)/1000000*'Configuración'!$B$7*(1+'Configuración'!$B$8)*1,NA())</x:f>
        <x:v>0.00259409</x:v>
      </x:c>
      <x:c r="G43" s="31" t="n">
        <x:f>IF(AND('Configuración'!$B$24="OK",COUNT('Tarifas'!$B$18,'Tarifas'!$C$18)=2),('Tokens'!C10*'Tarifas'!$B$18+'Tokens'!D10*'Tarifas'!$C$18)/1000000*'Configuración'!$B$7*(1+'Configuración'!$B$8)*1,NA())</x:f>
        <x:v>0.0003209300000000001</x:v>
      </x:c>
      <x:c r="H43" s="31" t="n">
        <x:f>IF(AND('Configuración'!$B$24="OK",COUNT('Tarifas'!$B$18,'Tarifas'!$C$18)=2),('Tokens'!C11*'Tarifas'!$B$18+'Tokens'!D11*'Tarifas'!$C$18)/1000000*'Configuración'!$B$7*(1+'Configuración'!$B$8)*1,NA())</x:f>
        <x:v>0.00029644000000000003</x:v>
      </x:c>
      <x:c r="I43" s="28" t="n">
        <x:f>SUM(C43:D43,E43,G43)</x:f>
        <x:v>0.0039244499999999995</x:v>
      </x:c>
      <x:c r="J43" s="28" t="n">
        <x:f>SUM(C43:D43,F43,H43)</x:f>
        <x:v>0.00416858</x:v>
      </x:c>
    </x:row>
    <x:row r="44" ht="23" customHeight="1">
      <x:c r="A44" s="16" t="str">
        <x:v>GLM-5.3-Flash</x:v>
      </x:c>
      <x:c r="B44" s="16" t="str">
        <x:v>Media</x:v>
      </x:c>
      <x:c r="C44" s="32" t="n">
        <x:f>IF(AND('Configuración'!$B$24="OK",COUNT('Tarifas'!$B$18,'Tarifas'!$C$18)=2),('Tokens'!C12*'Tarifas'!$B$18+'Tokens'!D12*'Tarifas'!$C$18)/1000000*'Configuración'!$B$7*(1+'Configuración'!$B$8)*1*'Configuración'!$B$6,NA())</x:f>
        <x:v>0.0013216309999999998</x:v>
      </x:c>
      <x:c r="D4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44" s="32" t="n">
        <x:f>IF(AND('Configuración'!$B$24="OK",COUNT('Tarifas'!$B$18,'Tarifas'!$C$18)=2),('Tokens'!C13*'Tarifas'!$B$18+'Tokens'!D13*'Tarifas'!$C$18)/1000000*'Configuración'!$B$7*(1+'Configuración'!$B$8)*1,NA())</x:f>
        <x:v>0.005714237999999999</x:v>
      </x:c>
      <x:c r="F44" s="32" t="n">
        <x:f>IF(AND('Configuración'!$B$24="OK",COUNT('Tarifas'!$B$18,'Tarifas'!$C$18)=2),('Tokens'!C14*'Tarifas'!$B$18+'Tokens'!D14*'Tarifas'!$C$18)/1000000*'Configuración'!$B$7*(1+'Configuración'!$B$8)*1,NA())</x:f>
        <x:v>0.008102113999999999</x:v>
      </x:c>
      <x:c r="G44" s="32" t="n">
        <x:f>IF(AND('Configuración'!$B$24="OK",COUNT('Tarifas'!$B$18,'Tarifas'!$C$18)=2),('Tokens'!C15*'Tarifas'!$B$18+'Tokens'!D15*'Tarifas'!$C$18)/1000000*'Configuración'!$B$7*(1+'Configuración'!$B$8)*1,NA())</x:f>
        <x:v>0.0017790459999999998</x:v>
      </x:c>
      <x:c r="H44" s="32" t="n">
        <x:f>IF(AND('Configuración'!$B$24="OK",COUNT('Tarifas'!$B$18,'Tarifas'!$C$18)=2),('Tokens'!C16*'Tarifas'!$B$18+'Tokens'!D16*'Tarifas'!$C$18)/1000000*'Configuración'!$B$7*(1+'Configuración'!$B$8)*1,NA())</x:f>
        <x:v>0.001786288</x:v>
      </x:c>
      <x:c r="I44" s="30" t="n">
        <x:f>SUM(C44:D44,E44,G44)</x:f>
        <x:v>0.008815914999999999</x:v>
      </x:c>
      <x:c r="J44" s="30" t="n">
        <x:f>SUM(C44:D44,F44,H44)</x:f>
        <x:v>0.011211032999999999</x:v>
      </x:c>
    </x:row>
    <x:row r="45" ht="23" customHeight="1">
      <x:c r="A45" s="2" t="str">
        <x:v>GLM-5.3-Flash</x:v>
      </x:c>
      <x:c r="B45" s="2" t="str">
        <x:v>Alta</x:v>
      </x:c>
      <x:c r="C45" s="31" t="n">
        <x:f>IF(AND('Configuración'!$B$24="OK",COUNT('Tarifas'!$B$18,'Tarifas'!$C$18)=2),('Tokens'!C17*'Tarifas'!$B$18+'Tokens'!D17*'Tarifas'!$C$18)/1000000*'Configuración'!$B$7*(1+'Configuración'!$B$8)*1*'Configuración'!$B$6,NA())</x:f>
        <x:v>0.001371515</x:v>
      </x:c>
      <x:c r="D4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45" s="31" t="n">
        <x:f>IF(AND('Configuración'!$B$24="OK",COUNT('Tarifas'!$B$18,'Tarifas'!$C$18)=2),('Tokens'!C18*'Tarifas'!$B$18+'Tokens'!D18*'Tarifas'!$C$18)/1000000*'Configuración'!$B$7*(1+'Configuración'!$B$8)*1,NA())</x:f>
        <x:v>0.00892305</x:v>
      </x:c>
      <x:c r="F45" s="31" t="n">
        <x:f>IF(AND('Configuración'!$B$24="OK",COUNT('Tarifas'!$B$18,'Tarifas'!$C$18)=2),('Tokens'!C19*'Tarifas'!$B$18+'Tokens'!D19*'Tarifas'!$C$18)/1000000*'Configuración'!$B$7*(1+'Configuración'!$B$8)*1,NA())</x:f>
        <x:v>0.024019060000000012</x:v>
      </x:c>
      <x:c r="G45" s="31" t="n">
        <x:f>IF(AND('Configuración'!$B$24="OK",COUNT('Tarifas'!$B$18,'Tarifas'!$C$18)=2),('Tokens'!C20*'Tarifas'!$B$18+'Tokens'!D20*'Tarifas'!$C$18)/1000000*'Configuración'!$B$7*(1+'Configuración'!$B$8)*1,NA())</x:f>
        <x:v>0.00340342</x:v>
      </x:c>
      <x:c r="H45" s="31" t="n">
        <x:f>IF(AND('Configuración'!$B$24="OK",COUNT('Tarifas'!$B$18,'Tarifas'!$C$18)=2),('Tokens'!C21*'Tarifas'!$B$18+'Tokens'!D21*'Tarifas'!$C$18)/1000000*'Configuración'!$B$7*(1+'Configuración'!$B$8)*1,NA())</x:f>
        <x:v>0.00362505</x:v>
      </x:c>
      <x:c r="I45" s="28" t="n">
        <x:f>SUM(C45:D45,E45,G45)</x:f>
        <x:v>0.013698985</x:v>
      </x:c>
      <x:c r="J45" s="28" t="n">
        <x:f>SUM(C45:D45,F45,H45)</x:f>
        <x:v>0.029016625000000015</x:v>
      </x:c>
    </x:row>
    <x:row r="46" ht="23" customHeight="1">
      <x:c r="A46" s="16" t="str">
        <x:v>GLM-5.3</x:v>
      </x:c>
      <x:c r="B46" s="16" t="str">
        <x:v>Baja</x:v>
      </x:c>
      <x:c r="C46" s="32" t="n">
        <x:f>IF(AND('Configuración'!$B$24="OK",COUNT('Tarifas'!$B$19,'Tarifas'!$C$19)=2),('Tokens'!C7*'Tarifas'!$B$19+'Tokens'!D7*'Tarifas'!$C$19)/1000000*'Configuración'!$B$7*(1+'Configuración'!$B$8)*1*'Configuración'!$B$6,NA())</x:f>
        <x:v>0.01188692</x:v>
      </x:c>
      <x:c r="D46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46" s="32" t="n">
        <x:f>IF(AND('Configuración'!$B$24="OK",COUNT('Tarifas'!$B$19,'Tarifas'!$C$19)=2),('Tokens'!C8*'Tarifas'!$B$19+'Tokens'!D8*'Tarifas'!$C$19)/1000000*'Configuración'!$B$7*(1+'Configuración'!$B$8)*1,NA())</x:f>
        <x:v>0.021681080000000002</x:v>
      </x:c>
      <x:c r="F46" s="32" t="n">
        <x:f>IF(AND('Configuración'!$B$24="OK",COUNT('Tarifas'!$B$19,'Tarifas'!$C$19)=2),('Tokens'!C9*'Tarifas'!$B$19+'Tokens'!D9*'Tarifas'!$C$19)/1000000*'Configuración'!$B$7*(1+'Configuración'!$B$8)*1,NA())</x:f>
        <x:v>0.02417028</x:v>
      </x:c>
      <x:c r="G46" s="32" t="n">
        <x:f>IF(AND('Configuración'!$B$24="OK",COUNT('Tarifas'!$B$19,'Tarifas'!$C$19)=2),('Tokens'!C10*'Tarifas'!$B$19+'Tokens'!D10*'Tarifas'!$C$19)/1000000*'Configuración'!$B$7*(1+'Configuración'!$B$8)*1,NA())</x:f>
        <x:v>0.0029542800000000005</x:v>
      </x:c>
      <x:c r="H46" s="32" t="n">
        <x:f>IF(AND('Configuración'!$B$24="OK",COUNT('Tarifas'!$B$19,'Tarifas'!$C$19)=2),('Tokens'!C11*'Tarifas'!$B$19+'Tokens'!D11*'Tarifas'!$C$19)/1000000*'Configuración'!$B$7*(1+'Configuración'!$B$8)*1,NA())</x:f>
        <x:v>0.0027219200000000005</x:v>
      </x:c>
      <x:c r="I46" s="30" t="n">
        <x:f>SUM(C46:D46,E46,G46)</x:f>
        <x:v>0.036523280000000005</x:v>
      </x:c>
      <x:c r="J46" s="30" t="n">
        <x:f>SUM(C46:D46,F46,H46)</x:f>
        <x:v>0.03878012</x:v>
      </x:c>
    </x:row>
    <x:row r="47" ht="23" customHeight="1">
      <x:c r="A47" s="2" t="str">
        <x:v>GLM-5.3</x:v>
      </x:c>
      <x:c r="B47" s="2" t="str">
        <x:v>Media</x:v>
      </x:c>
      <x:c r="C47" s="31" t="n">
        <x:f>IF(AND('Configuración'!$B$24="OK",COUNT('Tarifas'!$B$19,'Tarifas'!$C$19)=2),('Tokens'!C12*'Tarifas'!$B$19+'Tokens'!D12*'Tarifas'!$C$19)/1000000*'Configuración'!$B$7*(1+'Configuración'!$B$8)*1*'Configuración'!$B$6,NA())</x:f>
        <x:v>0.012279579999999998</x:v>
      </x:c>
      <x:c r="D4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47" s="31" t="n">
        <x:f>IF(AND('Configuración'!$B$24="OK",COUNT('Tarifas'!$B$19,'Tarifas'!$C$19)=2),('Tokens'!C13*'Tarifas'!$B$19+'Tokens'!D13*'Tarifas'!$C$19)/1000000*'Configuración'!$B$7*(1+'Configuración'!$B$8)*1,NA())</x:f>
        <x:v>0.053234328</x:v>
      </x:c>
      <x:c r="F47" s="31" t="n">
        <x:f>IF(AND('Configuración'!$B$24="OK",COUNT('Tarifas'!$B$19,'Tarifas'!$C$19)=2),('Tokens'!C14*'Tarifas'!$B$19+'Tokens'!D14*'Tarifas'!$C$19)/1000000*'Configuración'!$B$7*(1+'Configuración'!$B$8)*1,NA())</x:f>
        <x:v>0.075317288</x:v>
      </x:c>
      <x:c r="G47" s="31" t="n">
        <x:f>IF(AND('Configuración'!$B$24="OK",COUNT('Tarifas'!$B$19,'Tarifas'!$C$19)=2),('Tokens'!C15*'Tarifas'!$B$19+'Tokens'!D15*'Tarifas'!$C$19)/1000000*'Configuración'!$B$7*(1+'Configuración'!$B$8)*1,NA())</x:f>
        <x:v>0.016455895999999998</x:v>
      </x:c>
      <x:c r="H47" s="31" t="n">
        <x:f>IF(AND('Configuración'!$B$24="OK",COUNT('Tarifas'!$B$19,'Tarifas'!$C$19)=2),('Tokens'!C16*'Tarifas'!$B$19+'Tokens'!D16*'Tarifas'!$C$19)/1000000*'Configuración'!$B$7*(1+'Configuración'!$B$8)*1,NA())</x:f>
        <x:v>0.016556544000000003</x:v>
      </x:c>
      <x:c r="I47" s="28" t="n">
        <x:f>SUM(C47:D47,E47,G47)</x:f>
        <x:v>0.081970804</x:v>
      </x:c>
      <x:c r="J47" s="28" t="n">
        <x:f>SUM(C47:D47,F47,H47)</x:f>
        <x:v>0.104154412</x:v>
      </x:c>
    </x:row>
    <x:row r="48" ht="23" customHeight="1">
      <x:c r="A48" s="16" t="str">
        <x:v>GLM-5.3</x:v>
      </x:c>
      <x:c r="B48" s="16" t="str">
        <x:v>Alta</x:v>
      </x:c>
      <x:c r="C48" s="32" t="n">
        <x:f>IF(AND('Configuración'!$B$24="OK",COUNT('Tarifas'!$B$19,'Tarifas'!$C$19)=2),('Tokens'!C17*'Tarifas'!$B$19+'Tokens'!D17*'Tarifas'!$C$19)/1000000*'Configuración'!$B$7*(1+'Configuración'!$B$8)*1*'Configuración'!$B$6,NA())</x:f>
        <x:v>0.012718939999999998</x:v>
      </x:c>
      <x:c r="D4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48" s="32" t="n">
        <x:f>IF(AND('Configuración'!$B$24="OK",COUNT('Tarifas'!$B$19,'Tarifas'!$C$19)=2),('Tokens'!C18*'Tarifas'!$B$19+'Tokens'!D18*'Tarifas'!$C$19)/1000000*'Configuración'!$B$7*(1+'Configuración'!$B$8)*1,NA())</x:f>
        <x:v>0.08307748</x:v>
      </x:c>
      <x:c r="F48" s="32" t="n">
        <x:f>IF(AND('Configuración'!$B$24="OK",COUNT('Tarifas'!$B$19,'Tarifas'!$C$19)=2),('Tokens'!C19*'Tarifas'!$B$19+'Tokens'!D19*'Tarifas'!$C$19)/1000000*'Configuración'!$B$7*(1+'Configuración'!$B$8)*1,NA())</x:f>
        <x:v>0.2233544800000001</x:v>
      </x:c>
      <x:c r="G48" s="32" t="n">
        <x:f>IF(AND('Configuración'!$B$24="OK",COUNT('Tarifas'!$B$19,'Tarifas'!$C$19)=2),('Tokens'!C20*'Tarifas'!$B$19+'Tokens'!D20*'Tarifas'!$C$19)/1000000*'Configuración'!$B$7*(1+'Configuración'!$B$8)*1,NA())</x:f>
        <x:v>0.03150056</x:v>
      </x:c>
      <x:c r="H48" s="32" t="n">
        <x:f>IF(AND('Configuración'!$B$24="OK",COUNT('Tarifas'!$B$19,'Tarifas'!$C$19)=2),('Tokens'!C21*'Tarifas'!$B$19+'Tokens'!D21*'Tarifas'!$C$19)/1000000*'Configuración'!$B$7*(1+'Configuración'!$B$8)*1,NA())</x:f>
        <x:v>0.0336282</x:v>
      </x:c>
      <x:c r="I48" s="30" t="n">
        <x:f>SUM(C48:D48,E48,G48)</x:f>
        <x:v>0.12729797999999998</x:v>
      </x:c>
      <x:c r="J48" s="30" t="n">
        <x:f>SUM(C48:D48,F48,H48)</x:f>
        <x:v>0.2697026200000001</x:v>
      </x:c>
    </x:row>
    <x:row r="49" ht="23" customHeight="1">
      <x:c r="A49" s="2" t="str">
        <x:v>Qwen3.5 Flash (SG)</x:v>
      </x:c>
      <x:c r="B49" s="2" t="str">
        <x:v>Baja</x:v>
      </x:c>
      <x:c r="C49" s="31" t="n">
        <x:f>IF(AND('Configuración'!$B$24="OK",COUNT('Tarifas'!$B$20,'Tarifas'!$C$20)=2),('Tokens'!C7*'Tarifas'!$B$20+'Tokens'!D7*'Tarifas'!$C$20)/1000000*'Configuración'!$B$7*(1+'Configuración'!$B$8)*1*'Configuración'!$B$6,NA())</x:f>
        <x:v>0.0008594200000000001</x:v>
      </x:c>
      <x:c r="D4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49" s="31" t="n">
        <x:f>IF(AND('Configuración'!$B$24="OK",COUNT('Tarifas'!$B$20,'Tarifas'!$C$20)=2),('Tokens'!C8*'Tarifas'!$B$20+'Tokens'!D8*'Tarifas'!$C$20)/1000000*'Configuración'!$B$7*(1+'Configuración'!$B$8)*1,NA())</x:f>
        <x:v>0.0015561400000000003</x:v>
      </x:c>
      <x:c r="F49" s="31" t="n">
        <x:f>IF(AND('Configuración'!$B$24="OK",COUNT('Tarifas'!$B$20,'Tarifas'!$C$20)=2),('Tokens'!C9*'Tarifas'!$B$20+'Tokens'!D9*'Tarifas'!$C$20)/1000000*'Configuración'!$B$7*(1+'Configuración'!$B$8)*1,NA())</x:f>
        <x:v>0.0017396999999999998</x:v>
      </x:c>
      <x:c r="G49" s="31" t="n">
        <x:f>IF(AND('Configuración'!$B$24="OK",COUNT('Tarifas'!$B$20,'Tarifas'!$C$20)=2),('Tokens'!C10*'Tarifas'!$B$20+'Tokens'!D10*'Tarifas'!$C$20)/1000000*'Configuración'!$B$7*(1+'Configuración'!$B$8)*1,NA())</x:f>
        <x:v>0.00022422000000000007</x:v>
      </x:c>
      <x:c r="H49" s="31" t="n">
        <x:f>IF(AND('Configuración'!$B$24="OK",COUNT('Tarifas'!$B$20,'Tarifas'!$C$20)=2),('Tokens'!C11*'Tarifas'!$B$20+'Tokens'!D11*'Tarifas'!$C$20)/1000000*'Configuración'!$B$7*(1+'Configuración'!$B$8)*1,NA())</x:f>
        <x:v>0.00020884000000000004</x:v>
      </x:c>
      <x:c r="I49" s="28" t="n">
        <x:f>SUM(C49:D49,E49,G49)</x:f>
        <x:v>0.0026407800000000006</x:v>
      </x:c>
      <x:c r="J49" s="28" t="n">
        <x:f>SUM(C49:D49,F49,H49)</x:f>
        <x:v>0.00280896</x:v>
      </x:c>
    </x:row>
    <x:row r="50" ht="23" customHeight="1">
      <x:c r="A50" s="16" t="str">
        <x:v>Qwen3.5 Flash (SG)</x:v>
      </x:c>
      <x:c r="B50" s="16" t="str">
        <x:v>Media</x:v>
      </x:c>
      <x:c r="C50" s="32" t="n">
        <x:f>IF(AND('Configuración'!$B$24="OK",COUNT('Tarifas'!$B$20,'Tarifas'!$C$20)=2),('Tokens'!C12*'Tarifas'!$B$20+'Tokens'!D12*'Tarifas'!$C$20)/1000000*'Configuración'!$B$7*(1+'Configuración'!$B$8)*1*'Configuración'!$B$6,NA())</x:f>
        <x:v>0.000894998</x:v>
      </x:c>
      <x:c r="D5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50" s="32" t="n">
        <x:f>IF(AND('Configuración'!$B$24="OK",COUNT('Tarifas'!$B$20,'Tarifas'!$C$20)=2),('Tokens'!C13*'Tarifas'!$B$20+'Tokens'!D13*'Tarifas'!$C$20)/1000000*'Configuración'!$B$7*(1+'Configuración'!$B$8)*1,NA())</x:f>
        <x:v>0.003834132</x:v>
      </x:c>
      <x:c r="F50" s="32" t="n">
        <x:f>IF(AND('Configuración'!$B$24="OK",COUNT('Tarifas'!$B$20,'Tarifas'!$C$20)=2),('Tokens'!C14*'Tarifas'!$B$20+'Tokens'!D14*'Tarifas'!$C$20)/1000000*'Configuración'!$B$7*(1+'Configuración'!$B$8)*1,NA())</x:f>
        <x:v>0.005477019999999999</x:v>
      </x:c>
      <x:c r="G50" s="32" t="n">
        <x:f>IF(AND('Configuración'!$B$24="OK",COUNT('Tarifas'!$B$20,'Tarifas'!$C$20)=2),('Tokens'!C15*'Tarifas'!$B$20+'Tokens'!D15*'Tarifas'!$C$20)/1000000*'Configuración'!$B$7*(1+'Configuración'!$B$8)*1,NA())</x:f>
        <x:v>0.001223164</x:v>
      </x:c>
      <x:c r="H50" s="32" t="n">
        <x:f>IF(AND('Configuración'!$B$24="OK",COUNT('Tarifas'!$B$20,'Tarifas'!$C$20)=2),('Tokens'!C16*'Tarifas'!$B$20+'Tokens'!D16*'Tarifas'!$C$20)/1000000*'Configuración'!$B$7*(1+'Configuración'!$B$8)*1,NA())</x:f>
        <x:v>0.001219728</x:v>
      </x:c>
      <x:c r="I50" s="30" t="n">
        <x:f>SUM(C50:D50,E50,G50)</x:f>
        <x:v>0.005953294</x:v>
      </x:c>
      <x:c r="J50" s="30" t="n">
        <x:f>SUM(C50:D50,F50,H50)</x:f>
        <x:v>0.007592745999999999</x:v>
      </x:c>
    </x:row>
    <x:row r="51" ht="23" customHeight="1">
      <x:c r="A51" s="2" t="str">
        <x:v>Qwen3.5 Flash (SG)</x:v>
      </x:c>
      <x:c r="B51" s="2" t="str">
        <x:v>Alta</x:v>
      </x:c>
      <x:c r="C51" s="31" t="n">
        <x:f>IF(AND('Configuración'!$B$24="OK",COUNT('Tarifas'!$B$20,'Tarifas'!$C$20)=2),('Tokens'!C17*'Tarifas'!$B$20+'Tokens'!D17*'Tarifas'!$C$20)/1000000*'Configuración'!$B$7*(1+'Configuración'!$B$8)*1*'Configuración'!$B$6,NA())</x:f>
        <x:v>0.0009348100000000002</x:v>
      </x:c>
      <x:c r="D5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51" s="31" t="n">
        <x:f>IF(AND('Configuración'!$B$24="OK",COUNT('Tarifas'!$B$20,'Tarifas'!$C$20)=2),('Tokens'!C18*'Tarifas'!$B$20+'Tokens'!D18*'Tarifas'!$C$20)/1000000*'Configuración'!$B$7*(1+'Configuración'!$B$8)*1,NA())</x:f>
        <x:v>0.0059997800000000006</x:v>
      </x:c>
      <x:c r="F51" s="31" t="n">
        <x:f>IF(AND('Configuración'!$B$24="OK",COUNT('Tarifas'!$B$20,'Tarifas'!$C$20)=2),('Tokens'!C19*'Tarifas'!$B$20+'Tokens'!D19*'Tarifas'!$C$20)/1000000*'Configuración'!$B$7*(1+'Configuración'!$B$8)*1,NA())</x:f>
        <x:v>0.01621856000000001</x:v>
      </x:c>
      <x:c r="G51" s="31" t="n">
        <x:f>IF(AND('Configuración'!$B$24="OK",COUNT('Tarifas'!$B$20,'Tarifas'!$C$20)=2),('Tokens'!C20*'Tarifas'!$B$20+'Tokens'!D20*'Tarifas'!$C$20)/1000000*'Configuración'!$B$7*(1+'Configuración'!$B$8)*1,NA())</x:f>
        <x:v>0.00233512</x:v>
      </x:c>
      <x:c r="H51" s="31" t="n">
        <x:f>IF(AND('Configuración'!$B$24="OK",COUNT('Tarifas'!$B$20,'Tarifas'!$C$20)=2),('Tokens'!C21*'Tarifas'!$B$20+'Tokens'!D21*'Tarifas'!$C$20)/1000000*'Configuración'!$B$7*(1+'Configuración'!$B$8)*1,NA())</x:f>
        <x:v>0.0024681000000000004</x:v>
      </x:c>
      <x:c r="I51" s="28" t="n">
        <x:f>SUM(C51:D51,E51,G51)</x:f>
        <x:v>0.009270710000000001</x:v>
      </x:c>
      <x:c r="J51" s="28" t="n">
        <x:f>SUM(C51:D51,F51,H51)</x:f>
        <x:v>0.01962247000000001</x:v>
      </x:c>
    </x:row>
    <x:row r="52" ht="23" customHeight="1">
      <x:c r="A52" s="16" t="str">
        <x:v>Qwen3.8 Flash (SG)</x:v>
      </x:c>
      <x:c r="B52" s="16" t="str">
        <x:v>Baja</x:v>
      </x:c>
      <x:c r="C52" s="32" t="n">
        <x:f>IF(AND('Configuración'!$B$24="OK",COUNT('Tarifas'!$B$21,'Tarifas'!$C$21)=2),('Tokens'!C7*'Tarifas'!$B$21+'Tokens'!D7*'Tarifas'!$C$21)/1000000*'Configuración'!$B$7*(1+'Configuración'!$B$8)*1*'Configuración'!$B$6,NA())</x:f>
        <x:v>0.001273426</x:v>
      </x:c>
      <x:c r="D5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52" s="32" t="n">
        <x:f>IF(AND('Configuración'!$B$24="OK",COUNT('Tarifas'!$B$21,'Tarifas'!$C$21)=2),('Tokens'!C8*'Tarifas'!$B$21+'Tokens'!D8*'Tarifas'!$C$21)/1000000*'Configuración'!$B$7*(1+'Configuración'!$B$8)*1,NA())</x:f>
        <x:v>0.0023228479999999998</x:v>
      </x:c>
      <x:c r="F52" s="32" t="n">
        <x:f>IF(AND('Configuración'!$B$24="OK",COUNT('Tarifas'!$B$21,'Tarifas'!$C$21)=2),('Tokens'!C9*'Tarifas'!$B$21+'Tokens'!D9*'Tarifas'!$C$21)/1000000*'Configuración'!$B$7*(1+'Configuración'!$B$8)*1,NA())</x:f>
        <x:v>0.0025894519999999995</x:v>
      </x:c>
      <x:c r="G52" s="32" t="n">
        <x:f>IF(AND('Configuración'!$B$24="OK",COUNT('Tarifas'!$B$21,'Tarifas'!$C$21)=2),('Tokens'!C10*'Tarifas'!$B$21+'Tokens'!D10*'Tarifas'!$C$21)/1000000*'Configuración'!$B$7*(1+'Configuración'!$B$8)*1,NA())</x:f>
        <x:v>0.00031631000000000004</x:v>
      </x:c>
      <x:c r="H52" s="32" t="n">
        <x:f>IF(AND('Configuración'!$B$24="OK",COUNT('Tarifas'!$B$21,'Tarifas'!$C$21)=2),('Tokens'!C11*'Tarifas'!$B$21+'Tokens'!D11*'Tarifas'!$C$21)/1000000*'Configuración'!$B$7*(1+'Configuración'!$B$8)*1,NA())</x:f>
        <x:v>0.00029139400000000005</x:v>
      </x:c>
      <x:c r="I52" s="30" t="n">
        <x:f>SUM(C52:D52,E52,G52)</x:f>
        <x:v>0.0039135839999999995</x:v>
      </x:c>
      <x:c r="J52" s="30" t="n">
        <x:f>SUM(C52:D52,F52,H52)</x:f>
        <x:v>0.004155272</x:v>
      </x:c>
    </x:row>
    <x:row r="53" ht="23" customHeight="1">
      <x:c r="A53" s="2" t="str">
        <x:v>Qwen3.8 Flash (SG)</x:v>
      </x:c>
      <x:c r="B53" s="2" t="str">
        <x:v>Media</x:v>
      </x:c>
      <x:c r="C53" s="31" t="n">
        <x:f>IF(AND('Configuración'!$B$24="OK",COUNT('Tarifas'!$B$21,'Tarifas'!$C$21)=2),('Tokens'!C12*'Tarifas'!$B$21+'Tokens'!D12*'Tarifas'!$C$21)/1000000*'Configuración'!$B$7*(1+'Configuración'!$B$8)*1*'Configuración'!$B$6,NA())</x:f>
        <x:v>0.0013153712000000001</x:v>
      </x:c>
      <x:c r="D5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53" s="31" t="n">
        <x:f>IF(AND('Configuración'!$B$24="OK",COUNT('Tarifas'!$B$21,'Tarifas'!$C$21)=2),('Tokens'!C13*'Tarifas'!$B$21+'Tokens'!D13*'Tarifas'!$C$21)/1000000*'Configuración'!$B$7*(1+'Configuración'!$B$8)*1,NA())</x:f>
        <x:v>0.00570315</x:v>
      </x:c>
      <x:c r="F53" s="31" t="n">
        <x:f>IF(AND('Configuración'!$B$24="OK",COUNT('Tarifas'!$B$21,'Tarifas'!$C$21)=2),('Tokens'!C14*'Tarifas'!$B$21+'Tokens'!D14*'Tarifas'!$C$21)/1000000*'Configuración'!$B$7*(1+'Configuración'!$B$8)*1,NA())</x:f>
        <x:v>0.0080680892</x:v>
      </x:c>
      <x:c r="G53" s="31" t="n">
        <x:f>IF(AND('Configuración'!$B$24="OK",COUNT('Tarifas'!$B$21,'Tarifas'!$C$21)=2),('Tokens'!C15*'Tarifas'!$B$21+'Tokens'!D15*'Tarifas'!$C$21)/1000000*'Configuración'!$B$7*(1+'Configuración'!$B$8)*1,NA())</x:f>
        <x:v>0.0017623359999999998</x:v>
      </x:c>
      <x:c r="H53" s="31" t="n">
        <x:f>IF(AND('Configuración'!$B$24="OK",COUNT('Tarifas'!$B$21,'Tarifas'!$C$21)=2),('Tokens'!C16*'Tarifas'!$B$21+'Tokens'!D16*'Tarifas'!$C$21)/1000000*'Configuración'!$B$7*(1+'Configuración'!$B$8)*1,NA())</x:f>
        <x:v>0.0017732968</x:v>
      </x:c>
      <x:c r="I53" s="28" t="n">
        <x:f>SUM(C53:D53,E53,G53)</x:f>
        <x:v>0.0087818572</x:v>
      </x:c>
      <x:c r="J53" s="28" t="n">
        <x:f>SUM(C53:D53,F53,H53)</x:f>
        <x:v>0.0111577572</x:v>
      </x:c>
    </x:row>
    <x:row r="54" ht="23" customHeight="1">
      <x:c r="A54" s="16" t="str">
        <x:v>Qwen3.8 Flash (SG)</x:v>
      </x:c>
      <x:c r="B54" s="16" t="str">
        <x:v>Alta</x:v>
      </x:c>
      <x:c r="C54" s="32" t="n">
        <x:f>IF(AND('Configuración'!$B$24="OK",COUNT('Tarifas'!$B$21,'Tarifas'!$C$21)=2),('Tokens'!C17*'Tarifas'!$B$21+'Tokens'!D17*'Tarifas'!$C$21)/1000000*'Configuración'!$B$7*(1+'Configuración'!$B$8)*1*'Configuración'!$B$6,NA())</x:f>
        <x:v>0.001362305</x:v>
      </x:c>
      <x:c r="D5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54" s="32" t="n">
        <x:f>IF(AND('Configuración'!$B$24="OK",COUNT('Tarifas'!$B$21,'Tarifas'!$C$21)=2),('Tokens'!C18*'Tarifas'!$B$21+'Tokens'!D18*'Tarifas'!$C$21)/1000000*'Configuración'!$B$7*(1+'Configuración'!$B$8)*1,NA())</x:f>
        <x:v>0.008900064</x:v>
      </x:c>
      <x:c r="F54" s="32" t="n">
        <x:f>IF(AND('Configuración'!$B$24="OK",COUNT('Tarifas'!$B$21,'Tarifas'!$C$21)=2),('Tokens'!C19*'Tarifas'!$B$21+'Tokens'!D19*'Tarifas'!$C$21)/1000000*'Configuración'!$B$7*(1+'Configuración'!$B$8)*1,NA())</x:f>
        <x:v>0.02392642600000001</x:v>
      </x:c>
      <x:c r="G54" s="32" t="n">
        <x:f>IF(AND('Configuración'!$B$24="OK",COUNT('Tarifas'!$B$21,'Tarifas'!$C$21)=2),('Tokens'!C20*'Tarifas'!$B$21+'Tokens'!D20*'Tarifas'!$C$21)/1000000*'Configuración'!$B$7*(1+'Configuración'!$B$8)*1,NA())</x:f>
        <x:v>0.0033736419999999996</x:v>
      </x:c>
      <x:c r="H54" s="32" t="n">
        <x:f>IF(AND('Configuración'!$B$24="OK",COUNT('Tarifas'!$B$21,'Tarifas'!$C$21)=2),('Tokens'!C21*'Tarifas'!$B$21+'Tokens'!D21*'Tarifas'!$C$21)/1000000*'Configuración'!$B$7*(1+'Configuración'!$B$8)*1,NA())</x:f>
        <x:v>0.0036019199999999998</x:v>
      </x:c>
      <x:c r="I54" s="30" t="n">
        <x:f>SUM(C54:D54,E54,G54)</x:f>
        <x:v>0.013637011</x:v>
      </x:c>
      <x:c r="J54" s="30" t="n">
        <x:f>SUM(C54:D54,F54,H54)</x:f>
        <x:v>0.02889165100000001</x:v>
      </x:c>
    </x:row>
    <x:row r="55" ht="23" customHeight="1">
      <x:c r="A55" s="2" t="str">
        <x:v>Qwen3.7 Plus (SG)</x:v>
      </x:c>
      <x:c r="B55" s="2" t="str">
        <x:v>Baja</x:v>
      </x:c>
      <x:c r="C55" s="31" t="n">
        <x:f>IF(AND('Configuración'!$B$24="OK",COUNT('Tarifas'!$B$22,'Tarifas'!$C$22)=2),('Tokens'!C7*'Tarifas'!$B$22+'Tokens'!D7*'Tarifas'!$C$22)/1000000*'Configuración'!$B$7*(1+'Configuración'!$B$8)*1*'Configuración'!$B$6,NA())</x:f>
        <x:v>0.0034376800000000002</x:v>
      </x:c>
      <x:c r="D5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55" s="31" t="n">
        <x:f>IF(AND('Configuración'!$B$24="OK",COUNT('Tarifas'!$B$22,'Tarifas'!$C$22)=2),('Tokens'!C8*'Tarifas'!$B$22+'Tokens'!D8*'Tarifas'!$C$22)/1000000*'Configuración'!$B$7*(1+'Configuración'!$B$8)*1,NA())</x:f>
        <x:v>0.006224560000000001</x:v>
      </x:c>
      <x:c r="F55" s="31" t="n">
        <x:f>IF(AND('Configuración'!$B$24="OK",COUNT('Tarifas'!$B$22,'Tarifas'!$C$22)=2),('Tokens'!C9*'Tarifas'!$B$22+'Tokens'!D9*'Tarifas'!$C$22)/1000000*'Configuración'!$B$7*(1+'Configuración'!$B$8)*1,NA())</x:f>
        <x:v>0.006958799999999999</x:v>
      </x:c>
      <x:c r="G55" s="31" t="n">
        <x:f>IF(AND('Configuración'!$B$24="OK",COUNT('Tarifas'!$B$22,'Tarifas'!$C$22)=2),('Tokens'!C10*'Tarifas'!$B$22+'Tokens'!D10*'Tarifas'!$C$22)/1000000*'Configuración'!$B$7*(1+'Configuración'!$B$8)*1,NA())</x:f>
        <x:v>0.0008968800000000003</x:v>
      </x:c>
      <x:c r="H55" s="31" t="n">
        <x:f>IF(AND('Configuración'!$B$24="OK",COUNT('Tarifas'!$B$22,'Tarifas'!$C$22)=2),('Tokens'!C11*'Tarifas'!$B$22+'Tokens'!D11*'Tarifas'!$C$22)/1000000*'Configuración'!$B$7*(1+'Configuración'!$B$8)*1,NA())</x:f>
        <x:v>0.0008353600000000002</x:v>
      </x:c>
      <x:c r="I55" s="28" t="n">
        <x:f>SUM(C55:D55,E55,G55)</x:f>
        <x:v>0.010560120000000003</x:v>
      </x:c>
      <x:c r="J55" s="28" t="n">
        <x:f>SUM(C55:D55,F55,H55)</x:f>
        <x:v>0.011232840000000001</x:v>
      </x:c>
    </x:row>
    <x:row r="56" ht="23" customHeight="1">
      <x:c r="A56" s="16" t="str">
        <x:v>Qwen3.7 Plus (SG)</x:v>
      </x:c>
      <x:c r="B56" s="16" t="str">
        <x:v>Media</x:v>
      </x:c>
      <x:c r="C56" s="32" t="n">
        <x:f>IF(AND('Configuración'!$B$24="OK",COUNT('Tarifas'!$B$22,'Tarifas'!$C$22)=2),('Tokens'!C12*'Tarifas'!$B$22+'Tokens'!D12*'Tarifas'!$C$22)/1000000*'Configuración'!$B$7*(1+'Configuración'!$B$8)*1*'Configuración'!$B$6,NA())</x:f>
        <x:v>0.003579992</x:v>
      </x:c>
      <x:c r="D56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56" s="32" t="n">
        <x:f>IF(AND('Configuración'!$B$24="OK",COUNT('Tarifas'!$B$22,'Tarifas'!$C$22)=2),('Tokens'!C13*'Tarifas'!$B$22+'Tokens'!D13*'Tarifas'!$C$22)/1000000*'Configuración'!$B$7*(1+'Configuración'!$B$8)*1,NA())</x:f>
        <x:v>0.015336528</x:v>
      </x:c>
      <x:c r="F56" s="32" t="n">
        <x:f>IF(AND('Configuración'!$B$24="OK",COUNT('Tarifas'!$B$22,'Tarifas'!$C$22)=2),('Tokens'!C14*'Tarifas'!$B$22+'Tokens'!D14*'Tarifas'!$C$22)/1000000*'Configuración'!$B$7*(1+'Configuración'!$B$8)*1,NA())</x:f>
        <x:v>0.021908079999999996</x:v>
      </x:c>
      <x:c r="G56" s="32" t="n">
        <x:f>IF(AND('Configuración'!$B$24="OK",COUNT('Tarifas'!$B$22,'Tarifas'!$C$22)=2),('Tokens'!C15*'Tarifas'!$B$22+'Tokens'!D15*'Tarifas'!$C$22)/1000000*'Configuración'!$B$7*(1+'Configuración'!$B$8)*1,NA())</x:f>
        <x:v>0.004892656</x:v>
      </x:c>
      <x:c r="H56" s="32" t="n">
        <x:f>IF(AND('Configuración'!$B$24="OK",COUNT('Tarifas'!$B$22,'Tarifas'!$C$22)=2),('Tokens'!C16*'Tarifas'!$B$22+'Tokens'!D16*'Tarifas'!$C$22)/1000000*'Configuración'!$B$7*(1+'Configuración'!$B$8)*1,NA())</x:f>
        <x:v>0.004878912</x:v>
      </x:c>
      <x:c r="I56" s="30" t="n">
        <x:f>SUM(C56:D56,E56,G56)</x:f>
        <x:v>0.023810176</x:v>
      </x:c>
      <x:c r="J56" s="30" t="n">
        <x:f>SUM(C56:D56,F56,H56)</x:f>
        <x:v>0.030367983999999997</x:v>
      </x:c>
    </x:row>
    <x:row r="57" ht="23" customHeight="1">
      <x:c r="A57" s="2" t="str">
        <x:v>Qwen3.7 Plus (SG)</x:v>
      </x:c>
      <x:c r="B57" s="2" t="str">
        <x:v>Alta</x:v>
      </x:c>
      <x:c r="C57" s="31" t="n">
        <x:f>IF(AND('Configuración'!$B$24="OK",COUNT('Tarifas'!$B$22,'Tarifas'!$C$22)=2),('Tokens'!C17*'Tarifas'!$B$22+'Tokens'!D17*'Tarifas'!$C$22)/1000000*'Configuración'!$B$7*(1+'Configuración'!$B$8)*1*'Configuración'!$B$6,NA())</x:f>
        <x:v>0.003739240000000001</x:v>
      </x:c>
      <x:c r="D5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57" s="31" t="n">
        <x:f>IF(AND('Configuración'!$B$24="OK",COUNT('Tarifas'!$B$22,'Tarifas'!$C$22)=2),('Tokens'!C18*'Tarifas'!$B$22+'Tokens'!D18*'Tarifas'!$C$22)/1000000*'Configuración'!$B$7*(1+'Configuración'!$B$8)*1,NA())</x:f>
        <x:v>0.023999120000000002</x:v>
      </x:c>
      <x:c r="F57" s="31" t="n">
        <x:f>IF(AND('Configuración'!$B$24="OK",COUNT('Tarifas'!$B$22,'Tarifas'!$C$22)=2),('Tokens'!C19*'Tarifas'!$B$22+'Tokens'!D19*'Tarifas'!$C$22)/1000000*'Configuración'!$B$7*(1+'Configuración'!$B$8)*1,NA())</x:f>
        <x:v>0.06487424000000004</x:v>
      </x:c>
      <x:c r="G57" s="31" t="n">
        <x:f>IF(AND('Configuración'!$B$24="OK",COUNT('Tarifas'!$B$22,'Tarifas'!$C$22)=2),('Tokens'!C20*'Tarifas'!$B$22+'Tokens'!D20*'Tarifas'!$C$22)/1000000*'Configuración'!$B$7*(1+'Configuración'!$B$8)*1,NA())</x:f>
        <x:v>0.00934048</x:v>
      </x:c>
      <x:c r="H57" s="31" t="n">
        <x:f>IF(AND('Configuración'!$B$24="OK",COUNT('Tarifas'!$B$22,'Tarifas'!$C$22)=2),('Tokens'!C21*'Tarifas'!$B$22+'Tokens'!D21*'Tarifas'!$C$22)/1000000*'Configuración'!$B$7*(1+'Configuración'!$B$8)*1,NA())</x:f>
        <x:v>0.009872400000000002</x:v>
      </x:c>
      <x:c r="I57" s="28" t="n">
        <x:f>SUM(C57:D57,E57,G57)</x:f>
        <x:v>0.03707984</x:v>
      </x:c>
      <x:c r="J57" s="28" t="n">
        <x:f>SUM(C57:D57,F57,H57)</x:f>
        <x:v>0.07848688000000005</x:v>
      </x:c>
    </x:row>
    <x:row r="58" ht="23" customHeight="1">
      <x:c r="A58" s="16" t="str">
        <x:v>Qwen3.8 Max (SG)</x:v>
      </x:c>
      <x:c r="B58" s="16" t="str">
        <x:v>Baja</x:v>
      </x:c>
      <x:c r="C58" s="32" t="n">
        <x:f>IF(AND('Configuración'!$B$24="OK",COUNT('Tarifas'!$B$23,'Tarifas'!$C$23)=2),('Tokens'!C7*'Tarifas'!$B$23+'Tokens'!D7*'Tarifas'!$C$23)/1000000*'Configuración'!$B$7*(1+'Configuración'!$B$8)*1*'Configuración'!$B$6,NA())</x:f>
        <x:v>0.016946799999999998</x:v>
      </x:c>
      <x:c r="D5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58" s="32" t="n">
        <x:f>IF(AND('Configuración'!$B$24="OK",COUNT('Tarifas'!$B$23,'Tarifas'!$C$23)=2),('Tokens'!C8*'Tarifas'!$B$23+'Tokens'!D8*'Tarifas'!$C$23)/1000000*'Configuración'!$B$7*(1+'Configuración'!$B$8)*1,NA())</x:f>
        <x:v>0.030948000000000003</x:v>
      </x:c>
      <x:c r="F58" s="32" t="n">
        <x:f>IF(AND('Configuración'!$B$24="OK",COUNT('Tarifas'!$B$23,'Tarifas'!$C$23)=2),('Tokens'!C9*'Tarifas'!$B$23+'Tokens'!D9*'Tarifas'!$C$23)/1000000*'Configuración'!$B$7*(1+'Configuración'!$B$8)*1,NA())</x:f>
        <x:v>0.034484799999999996</x:v>
      </x:c>
      <x:c r="G58" s="32" t="n">
        <x:f>IF(AND('Configuración'!$B$24="OK",COUNT('Tarifas'!$B$23,'Tarifas'!$C$23)=2),('Tokens'!C10*'Tarifas'!$B$23+'Tokens'!D10*'Tarifas'!$C$23)/1000000*'Configuración'!$B$7*(1+'Configuración'!$B$8)*1,NA())</x:f>
        <x:v>0.004176400000000001</x:v>
      </x:c>
      <x:c r="H58" s="32" t="n">
        <x:f>IF(AND('Configuración'!$B$24="OK",COUNT('Tarifas'!$B$23,'Tarifas'!$C$23)=2),('Tokens'!C11*'Tarifas'!$B$23+'Tokens'!D11*'Tarifas'!$C$23)/1000000*'Configuración'!$B$7*(1+'Configuración'!$B$8)*1,NA())</x:f>
        <x:v>0.0038404000000000008</x:v>
      </x:c>
      <x:c r="I58" s="30" t="n">
        <x:f>SUM(C58:D58,E58,G58)</x:f>
        <x:v>0.052072200000000006</x:v>
      </x:c>
      <x:c r="J58" s="30" t="n">
        <x:f>SUM(C58:D58,F58,H58)</x:f>
        <x:v>0.055272999999999996</x:v>
      </x:c>
    </x:row>
    <x:row r="59" ht="23" customHeight="1">
      <x:c r="A59" s="2" t="str">
        <x:v>Qwen3.8 Max (SG)</x:v>
      </x:c>
      <x:c r="B59" s="2" t="str">
        <x:v>Media</x:v>
      </x:c>
      <x:c r="C59" s="31" t="n">
        <x:f>IF(AND('Configuración'!$B$24="OK",COUNT('Tarifas'!$B$23,'Tarifas'!$C$23)=2),('Tokens'!C12*'Tarifas'!$B$23+'Tokens'!D12*'Tarifas'!$C$23)/1000000*'Configuración'!$B$7*(1+'Configuración'!$B$8)*1*'Configuración'!$B$6,NA())</x:f>
        <x:v>0.01748264</x:v>
      </x:c>
      <x:c r="D5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59" s="31" t="n">
        <x:f>IF(AND('Configuración'!$B$24="OK",COUNT('Tarifas'!$B$23,'Tarifas'!$C$23)=2),('Tokens'!C13*'Tarifas'!$B$23+'Tokens'!D13*'Tarifas'!$C$23)/1000000*'Configuración'!$B$7*(1+'Configuración'!$B$8)*1,NA())</x:f>
        <x:v>0.07594344</x:v>
      </x:c>
      <x:c r="F59" s="31" t="n">
        <x:f>IF(AND('Configuración'!$B$24="OK",COUNT('Tarifas'!$B$23,'Tarifas'!$C$23)=2),('Tokens'!C14*'Tarifas'!$B$23+'Tokens'!D14*'Tarifas'!$C$23)/1000000*'Configuración'!$B$7*(1+'Configuración'!$B$8)*1,NA())</x:f>
        <x:v>0.10727208</x:v>
      </x:c>
      <x:c r="G59" s="31" t="n">
        <x:f>IF(AND('Configuración'!$B$24="OK",COUNT('Tarifas'!$B$23,'Tarifas'!$C$23)=2),('Tokens'!C15*'Tarifas'!$B$23+'Tokens'!D15*'Tarifas'!$C$23)/1000000*'Configuración'!$B$7*(1+'Configuración'!$B$8)*1,NA())</x:f>
        <x:v>0.02334928</x:v>
      </x:c>
      <x:c r="H59" s="31" t="n">
        <x:f>IF(AND('Configuración'!$B$24="OK",COUNT('Tarifas'!$B$23,'Tarifas'!$C$23)=2),('Tokens'!C16*'Tarifas'!$B$23+'Tokens'!D16*'Tarifas'!$C$23)/1000000*'Configuración'!$B$7*(1+'Configuración'!$B$8)*1,NA())</x:f>
        <x:v>0.023528480000000004</x:v>
      </x:c>
      <x:c r="I59" s="28" t="n">
        <x:f>SUM(C59:D59,E59,G59)</x:f>
        <x:v>0.11677636</x:v>
      </x:c>
      <x:c r="J59" s="28" t="n">
        <x:f>SUM(C59:D59,F59,H59)</x:f>
        <x:v>0.14828420000000003</x:v>
      </x:c>
    </x:row>
    <x:row r="60" ht="23" customHeight="1">
      <x:c r="A60" s="16" t="str">
        <x:v>Qwen3.8 Max (SG)</x:v>
      </x:c>
      <x:c r="B60" s="16" t="str">
        <x:v>Alta</x:v>
      </x:c>
      <x:c r="C60" s="32" t="n">
        <x:f>IF(AND('Configuración'!$B$24="OK",COUNT('Tarifas'!$B$23,'Tarifas'!$C$23)=2),('Tokens'!C17*'Tarifas'!$B$23+'Tokens'!D17*'Tarifas'!$C$23)/1000000*'Configuración'!$B$7*(1+'Configuración'!$B$8)*1*'Configuración'!$B$6,NA())</x:f>
        <x:v>0.0180822</x:v>
      </x:c>
      <x:c r="D6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60" s="32" t="n">
        <x:f>IF(AND('Configuración'!$B$24="OK",COUNT('Tarifas'!$B$23,'Tarifas'!$C$23)=2),('Tokens'!C18*'Tarifas'!$B$23+'Tokens'!D18*'Tarifas'!$C$23)/1000000*'Configuración'!$B$7*(1+'Configuración'!$B$8)*1,NA())</x:f>
        <x:v>0.11846319999999999</x:v>
      </x:c>
      <x:c r="F60" s="32" t="n">
        <x:f>IF(AND('Configuración'!$B$24="OK",COUNT('Tarifas'!$B$23,'Tarifas'!$C$23)=2),('Tokens'!C19*'Tarifas'!$B$23+'Tokens'!D19*'Tarifas'!$C$23)/1000000*'Configuración'!$B$7*(1+'Configuración'!$B$8)*1,NA())</x:f>
        <x:v>0.31819560000000013</x:v>
      </x:c>
      <x:c r="G60" s="32" t="n">
        <x:f>IF(AND('Configuración'!$B$24="OK",COUNT('Tarifas'!$B$23,'Tarifas'!$C$23)=2),('Tokens'!C20*'Tarifas'!$B$23+'Tokens'!D20*'Tarifas'!$C$23)/1000000*'Configuración'!$B$7*(1+'Configuración'!$B$8)*1,NA())</x:f>
        <x:v>0.0447172</x:v>
      </x:c>
      <x:c r="H60" s="32" t="n">
        <x:f>IF(AND('Configuración'!$B$24="OK",COUNT('Tarifas'!$B$23,'Tarifas'!$C$23)=2),('Tokens'!C21*'Tarifas'!$B$23+'Tokens'!D21*'Tarifas'!$C$23)/1000000*'Configuración'!$B$7*(1+'Configuración'!$B$8)*1,NA())</x:f>
        <x:v>0.04782</x:v>
      </x:c>
      <x:c r="I60" s="30" t="n">
        <x:f>SUM(C60:D60,E60,G60)</x:f>
        <x:v>0.18126359999999997</x:v>
      </x:c>
      <x:c r="J60" s="30" t="n">
        <x:f>SUM(C60:D60,F60,H60)</x:f>
        <x:v>0.3840988000000002</x:v>
      </x:c>
    </x:row>
    <x:row r="61" ht="23" customHeight="1">
      <x:c r="A61" s="2" t="str">
        <x:v>MiniMax M3</x:v>
      </x:c>
      <x:c r="B61" s="2" t="str">
        <x:v>Baja</x:v>
      </x:c>
      <x:c r="C61" s="31" t="n">
        <x:f>IF(AND('Configuración'!$B$24="OK",COUNT('Tarifas'!$B$24,'Tarifas'!$C$24)=2),('Tokens'!C7*'Tarifas'!$B$24+'Tokens'!D7*'Tarifas'!$C$24)/1000000*'Configuración'!$B$7*(1+'Configuración'!$B$8)*1*'Configuración'!$B$6,NA())</x:f>
        <x:v>0.0025782599999999998</x:v>
      </x:c>
      <x:c r="D6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61" s="31" t="n">
        <x:f>IF(AND('Configuración'!$B$24="OK",COUNT('Tarifas'!$B$24,'Tarifas'!$C$24)=2),('Tokens'!C8*'Tarifas'!$B$24+'Tokens'!D8*'Tarifas'!$C$24)/1000000*'Configuración'!$B$7*(1+'Configuración'!$B$8)*1,NA())</x:f>
        <x:v>0.00466842</x:v>
      </x:c>
      <x:c r="F61" s="31" t="n">
        <x:f>IF(AND('Configuración'!$B$24="OK",COUNT('Tarifas'!$B$24,'Tarifas'!$C$24)=2),('Tokens'!C9*'Tarifas'!$B$24+'Tokens'!D9*'Tarifas'!$C$24)/1000000*'Configuración'!$B$7*(1+'Configuración'!$B$8)*1,NA())</x:f>
        <x:v>0.005219099999999998</x:v>
      </x:c>
      <x:c r="G61" s="31" t="n">
        <x:f>IF(AND('Configuración'!$B$24="OK",COUNT('Tarifas'!$B$24,'Tarifas'!$C$24)=2),('Tokens'!C10*'Tarifas'!$B$24+'Tokens'!D10*'Tarifas'!$C$24)/1000000*'Configuración'!$B$7*(1+'Configuración'!$B$8)*1,NA())</x:f>
        <x:v>0.0006726600000000002</x:v>
      </x:c>
      <x:c r="H61" s="31" t="n">
        <x:f>IF(AND('Configuración'!$B$24="OK",COUNT('Tarifas'!$B$24,'Tarifas'!$C$24)=2),('Tokens'!C11*'Tarifas'!$B$24+'Tokens'!D11*'Tarifas'!$C$24)/1000000*'Configuración'!$B$7*(1+'Configuración'!$B$8)*1,NA())</x:f>
        <x:v>0.0006265200000000001</x:v>
      </x:c>
      <x:c r="I61" s="28" t="n">
        <x:f>SUM(C61:D61,E61,G61)</x:f>
        <x:v>0.00792034</x:v>
      </x:c>
      <x:c r="J61" s="28" t="n">
        <x:f>SUM(C61:D61,F61,H61)</x:f>
        <x:v>0.008424879999999997</x:v>
      </x:c>
    </x:row>
    <x:row r="62" ht="23" customHeight="1">
      <x:c r="A62" s="16" t="str">
        <x:v>MiniMax M3</x:v>
      </x:c>
      <x:c r="B62" s="16" t="str">
        <x:v>Media</x:v>
      </x:c>
      <x:c r="C62" s="32" t="n">
        <x:f>IF(AND('Configuración'!$B$24="OK",COUNT('Tarifas'!$B$24,'Tarifas'!$C$24)=2),('Tokens'!C12*'Tarifas'!$B$24+'Tokens'!D12*'Tarifas'!$C$24)/1000000*'Configuración'!$B$7*(1+'Configuración'!$B$8)*1*'Configuración'!$B$6,NA())</x:f>
        <x:v>0.0026849939999999996</x:v>
      </x:c>
      <x:c r="D6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62" s="32" t="n">
        <x:f>IF(AND('Configuración'!$B$24="OK",COUNT('Tarifas'!$B$24,'Tarifas'!$C$24)=2),('Tokens'!C13*'Tarifas'!$B$24+'Tokens'!D13*'Tarifas'!$C$24)/1000000*'Configuración'!$B$7*(1+'Configuración'!$B$8)*1,NA())</x:f>
        <x:v>0.011502395999999998</x:v>
      </x:c>
      <x:c r="F62" s="32" t="n">
        <x:f>IF(AND('Configuración'!$B$24="OK",COUNT('Tarifas'!$B$24,'Tarifas'!$C$24)=2),('Tokens'!C14*'Tarifas'!$B$24+'Tokens'!D14*'Tarifas'!$C$24)/1000000*'Configuración'!$B$7*(1+'Configuración'!$B$8)*1,NA())</x:f>
        <x:v>0.016431059999999997</x:v>
      </x:c>
      <x:c r="G62" s="32" t="n">
        <x:f>IF(AND('Configuración'!$B$24="OK",COUNT('Tarifas'!$B$24,'Tarifas'!$C$24)=2),('Tokens'!C15*'Tarifas'!$B$24+'Tokens'!D15*'Tarifas'!$C$24)/1000000*'Configuración'!$B$7*(1+'Configuración'!$B$8)*1,NA())</x:f>
        <x:v>0.003669492</x:v>
      </x:c>
      <x:c r="H62" s="32" t="n">
        <x:f>IF(AND('Configuración'!$B$24="OK",COUNT('Tarifas'!$B$24,'Tarifas'!$C$24)=2),('Tokens'!C16*'Tarifas'!$B$24+'Tokens'!D16*'Tarifas'!$C$24)/1000000*'Configuración'!$B$7*(1+'Configuración'!$B$8)*1,NA())</x:f>
        <x:v>0.0036591840000000002</x:v>
      </x:c>
      <x:c r="I62" s="30" t="n">
        <x:f>SUM(C62:D62,E62,G62)</x:f>
        <x:v>0.017857882</x:v>
      </x:c>
      <x:c r="J62" s="30" t="n">
        <x:f>SUM(C62:D62,F62,H62)</x:f>
        <x:v>0.022776237999999997</x:v>
      </x:c>
    </x:row>
    <x:row r="63" ht="23" customHeight="1">
      <x:c r="A63" s="2" t="str">
        <x:v>MiniMax M3</x:v>
      </x:c>
      <x:c r="B63" s="2" t="str">
        <x:v>Alta</x:v>
      </x:c>
      <x:c r="C63" s="31" t="n">
        <x:f>IF(AND('Configuración'!$B$24="OK",COUNT('Tarifas'!$B$24,'Tarifas'!$C$24)=2),('Tokens'!C17*'Tarifas'!$B$24+'Tokens'!D17*'Tarifas'!$C$24)/1000000*'Configuración'!$B$7*(1+'Configuración'!$B$8)*1*'Configuración'!$B$6,NA())</x:f>
        <x:v>0.00280443</x:v>
      </x:c>
      <x:c r="D6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63" s="31" t="n">
        <x:f>IF(AND('Configuración'!$B$24="OK",COUNT('Tarifas'!$B$24,'Tarifas'!$C$24)=2),('Tokens'!C18*'Tarifas'!$B$24+'Tokens'!D18*'Tarifas'!$C$24)/1000000*'Configuración'!$B$7*(1+'Configuración'!$B$8)*1,NA())</x:f>
        <x:v>0.017999339999999996</x:v>
      </x:c>
      <x:c r="F63" s="31" t="n">
        <x:f>IF(AND('Configuración'!$B$24="OK",COUNT('Tarifas'!$B$24,'Tarifas'!$C$24)=2),('Tokens'!C19*'Tarifas'!$B$24+'Tokens'!D19*'Tarifas'!$C$24)/1000000*'Configuración'!$B$7*(1+'Configuración'!$B$8)*1,NA())</x:f>
        <x:v>0.04865568000000002</x:v>
      </x:c>
      <x:c r="G63" s="31" t="n">
        <x:f>IF(AND('Configuración'!$B$24="OK",COUNT('Tarifas'!$B$24,'Tarifas'!$C$24)=2),('Tokens'!C20*'Tarifas'!$B$24+'Tokens'!D20*'Tarifas'!$C$24)/1000000*'Configuración'!$B$7*(1+'Configuración'!$B$8)*1,NA())</x:f>
        <x:v>0.0070053599999999995</x:v>
      </x:c>
      <x:c r="H63" s="31" t="n">
        <x:f>IF(AND('Configuración'!$B$24="OK",COUNT('Tarifas'!$B$24,'Tarifas'!$C$24)=2),('Tokens'!C21*'Tarifas'!$B$24+'Tokens'!D21*'Tarifas'!$C$24)/1000000*'Configuración'!$B$7*(1+'Configuración'!$B$8)*1,NA())</x:f>
        <x:v>0.007404299999999999</x:v>
      </x:c>
      <x:c r="I63" s="28" t="n">
        <x:f>SUM(C63:D63,E63,G63)</x:f>
        <x:v>0.027810129999999995</x:v>
      </x:c>
      <x:c r="J63" s="28" t="n">
        <x:f>SUM(C63:D63,F63,H63)</x:f>
        <x:v>0.05886541000000002</x:v>
      </x:c>
    </x:row>
    <x:row r="64" ht="23" customHeight="1">
      <x:c r="A64" s="16" t="str">
        <x:v>MiniMax M2.7</x:v>
      </x:c>
      <x:c r="B64" s="16" t="str">
        <x:v>Baja</x:v>
      </x:c>
      <x:c r="C64" s="32" t="n">
        <x:f>IF(AND('Configuración'!$B$24="OK",COUNT('Tarifas'!$B$25,'Tarifas'!$C$25)=2),('Tokens'!C7*'Tarifas'!$B$25+'Tokens'!D7*'Tarifas'!$C$25)/1000000*'Configuración'!$B$7*(1+'Configuración'!$B$8)*1*'Configuración'!$B$6,NA())</x:f>
        <x:v>0.0025782599999999998</x:v>
      </x:c>
      <x:c r="D6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64" s="32" t="n">
        <x:f>IF(AND('Configuración'!$B$24="OK",COUNT('Tarifas'!$B$25,'Tarifas'!$C$25)=2),('Tokens'!C8*'Tarifas'!$B$25+'Tokens'!D8*'Tarifas'!$C$25)/1000000*'Configuración'!$B$7*(1+'Configuración'!$B$8)*1,NA())</x:f>
        <x:v>0.00466842</x:v>
      </x:c>
      <x:c r="F64" s="32" t="n">
        <x:f>IF(AND('Configuración'!$B$24="OK",COUNT('Tarifas'!$B$25,'Tarifas'!$C$25)=2),('Tokens'!C9*'Tarifas'!$B$25+'Tokens'!D9*'Tarifas'!$C$25)/1000000*'Configuración'!$B$7*(1+'Configuración'!$B$8)*1,NA())</x:f>
        <x:v>0.005219099999999998</x:v>
      </x:c>
      <x:c r="G64" s="32" t="n">
        <x:f>IF(AND('Configuración'!$B$24="OK",COUNT('Tarifas'!$B$25,'Tarifas'!$C$25)=2),('Tokens'!C10*'Tarifas'!$B$25+'Tokens'!D10*'Tarifas'!$C$25)/1000000*'Configuración'!$B$7*(1+'Configuración'!$B$8)*1,NA())</x:f>
        <x:v>0.0006726600000000002</x:v>
      </x:c>
      <x:c r="H64" s="32" t="n">
        <x:f>IF(AND('Configuración'!$B$24="OK",COUNT('Tarifas'!$B$25,'Tarifas'!$C$25)=2),('Tokens'!C11*'Tarifas'!$B$25+'Tokens'!D11*'Tarifas'!$C$25)/1000000*'Configuración'!$B$7*(1+'Configuración'!$B$8)*1,NA())</x:f>
        <x:v>0.0006265200000000001</x:v>
      </x:c>
      <x:c r="I64" s="30" t="n">
        <x:f>SUM(C64:D64,E64,G64)</x:f>
        <x:v>0.00792034</x:v>
      </x:c>
      <x:c r="J64" s="30" t="n">
        <x:f>SUM(C64:D64,F64,H64)</x:f>
        <x:v>0.008424879999999997</x:v>
      </x:c>
    </x:row>
    <x:row r="65" ht="23" customHeight="1">
      <x:c r="A65" s="2" t="str">
        <x:v>MiniMax M2.7</x:v>
      </x:c>
      <x:c r="B65" s="2" t="str">
        <x:v>Media</x:v>
      </x:c>
      <x:c r="C65" s="31" t="n">
        <x:f>IF(AND('Configuración'!$B$24="OK",COUNT('Tarifas'!$B$25,'Tarifas'!$C$25)=2),('Tokens'!C12*'Tarifas'!$B$25+'Tokens'!D12*'Tarifas'!$C$25)/1000000*'Configuración'!$B$7*(1+'Configuración'!$B$8)*1*'Configuración'!$B$6,NA())</x:f>
        <x:v>0.0026849939999999996</x:v>
      </x:c>
      <x:c r="D6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65" s="31" t="n">
        <x:f>IF(AND('Configuración'!$B$24="OK",COUNT('Tarifas'!$B$25,'Tarifas'!$C$25)=2),('Tokens'!C13*'Tarifas'!$B$25+'Tokens'!D13*'Tarifas'!$C$25)/1000000*'Configuración'!$B$7*(1+'Configuración'!$B$8)*1,NA())</x:f>
        <x:v>0.011502395999999998</x:v>
      </x:c>
      <x:c r="F65" s="31" t="n">
        <x:f>IF(AND('Configuración'!$B$24="OK",COUNT('Tarifas'!$B$25,'Tarifas'!$C$25)=2),('Tokens'!C14*'Tarifas'!$B$25+'Tokens'!D14*'Tarifas'!$C$25)/1000000*'Configuración'!$B$7*(1+'Configuración'!$B$8)*1,NA())</x:f>
        <x:v>0.016431059999999997</x:v>
      </x:c>
      <x:c r="G65" s="31" t="n">
        <x:f>IF(AND('Configuración'!$B$24="OK",COUNT('Tarifas'!$B$25,'Tarifas'!$C$25)=2),('Tokens'!C15*'Tarifas'!$B$25+'Tokens'!D15*'Tarifas'!$C$25)/1000000*'Configuración'!$B$7*(1+'Configuración'!$B$8)*1,NA())</x:f>
        <x:v>0.003669492</x:v>
      </x:c>
      <x:c r="H65" s="31" t="n">
        <x:f>IF(AND('Configuración'!$B$24="OK",COUNT('Tarifas'!$B$25,'Tarifas'!$C$25)=2),('Tokens'!C16*'Tarifas'!$B$25+'Tokens'!D16*'Tarifas'!$C$25)/1000000*'Configuración'!$B$7*(1+'Configuración'!$B$8)*1,NA())</x:f>
        <x:v>0.0036591840000000002</x:v>
      </x:c>
      <x:c r="I65" s="28" t="n">
        <x:f>SUM(C65:D65,E65,G65)</x:f>
        <x:v>0.017857882</x:v>
      </x:c>
      <x:c r="J65" s="28" t="n">
        <x:f>SUM(C65:D65,F65,H65)</x:f>
        <x:v>0.022776237999999997</x:v>
      </x:c>
    </x:row>
    <x:row r="66" ht="23" customHeight="1">
      <x:c r="A66" s="16" t="str">
        <x:v>MiniMax M2.7</x:v>
      </x:c>
      <x:c r="B66" s="16" t="str">
        <x:v>Alta</x:v>
      </x:c>
      <x:c r="C66" s="32" t="n">
        <x:f>IF(AND('Configuración'!$B$24="OK",COUNT('Tarifas'!$B$25,'Tarifas'!$C$25)=2),('Tokens'!C17*'Tarifas'!$B$25+'Tokens'!D17*'Tarifas'!$C$25)/1000000*'Configuración'!$B$7*(1+'Configuración'!$B$8)*1*'Configuración'!$B$6,NA())</x:f>
        <x:v>0.00280443</x:v>
      </x:c>
      <x:c r="D66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66" s="32" t="n">
        <x:f>IF(AND('Configuración'!$B$24="OK",COUNT('Tarifas'!$B$25,'Tarifas'!$C$25)=2),('Tokens'!C18*'Tarifas'!$B$25+'Tokens'!D18*'Tarifas'!$C$25)/1000000*'Configuración'!$B$7*(1+'Configuración'!$B$8)*1,NA())</x:f>
        <x:v>0.017999339999999996</x:v>
      </x:c>
      <x:c r="F66" s="32" t="n">
        <x:f>IF(AND('Configuración'!$B$24="OK",COUNT('Tarifas'!$B$25,'Tarifas'!$C$25)=2),('Tokens'!C19*'Tarifas'!$B$25+'Tokens'!D19*'Tarifas'!$C$25)/1000000*'Configuración'!$B$7*(1+'Configuración'!$B$8)*1,NA())</x:f>
        <x:v>0.04865568000000002</x:v>
      </x:c>
      <x:c r="G66" s="32" t="n">
        <x:f>IF(AND('Configuración'!$B$24="OK",COUNT('Tarifas'!$B$25,'Tarifas'!$C$25)=2),('Tokens'!C20*'Tarifas'!$B$25+'Tokens'!D20*'Tarifas'!$C$25)/1000000*'Configuración'!$B$7*(1+'Configuración'!$B$8)*1,NA())</x:f>
        <x:v>0.0070053599999999995</x:v>
      </x:c>
      <x:c r="H66" s="32" t="n">
        <x:f>IF(AND('Configuración'!$B$24="OK",COUNT('Tarifas'!$B$25,'Tarifas'!$C$25)=2),('Tokens'!C21*'Tarifas'!$B$25+'Tokens'!D21*'Tarifas'!$C$25)/1000000*'Configuración'!$B$7*(1+'Configuración'!$B$8)*1,NA())</x:f>
        <x:v>0.007404299999999999</x:v>
      </x:c>
      <x:c r="I66" s="30" t="n">
        <x:f>SUM(C66:D66,E66,G66)</x:f>
        <x:v>0.027810129999999995</x:v>
      </x:c>
      <x:c r="J66" s="30" t="n">
        <x:f>SUM(C66:D66,F66,H66)</x:f>
        <x:v>0.05886541000000002</x:v>
      </x:c>
    </x:row>
    <x:row r="67" ht="23" customHeight="1">
      <x:c r="A67" s="2" t="str">
        <x:v>Kimi K3</x:v>
      </x:c>
      <x:c r="B67" s="2" t="str">
        <x:v>Baja</x:v>
      </x:c>
      <x:c r="C67" s="31" t="n">
        <x:f>IF(AND('Configuración'!$B$24="OK",COUNT('Tarifas'!$B$26,'Tarifas'!$C$26)=2),('Tokens'!C7*'Tarifas'!$B$26+'Tokens'!D7*'Tarifas'!$C$26)/1000000*'Configuración'!$B$7*(1+'Configuración'!$B$8)*1*'Configuración'!$B$6,NA())</x:f>
        <x:v>0.026145</x:v>
      </x:c>
      <x:c r="D67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67" s="31" t="n">
        <x:f>IF(AND('Configuración'!$B$24="OK",COUNT('Tarifas'!$B$26,'Tarifas'!$C$26)=2),('Tokens'!C8*'Tarifas'!$B$26+'Tokens'!D8*'Tarifas'!$C$26)/1000000*'Configuración'!$B$7*(1+'Configuración'!$B$8)*1,NA())</x:f>
        <x:v>0.0469464</x:v>
      </x:c>
      <x:c r="F67" s="31" t="n">
        <x:f>IF(AND('Configuración'!$B$24="OK",COUNT('Tarifas'!$B$26,'Tarifas'!$C$26)=2),('Tokens'!C9*'Tarifas'!$B$26+'Tokens'!D9*'Tarifas'!$C$26)/1000000*'Configuración'!$B$7*(1+'Configuración'!$B$8)*1,NA())</x:f>
        <x:v>0.052654799999999995</x:v>
      </x:c>
      <x:c r="G67" s="31" t="n">
        <x:f>IF(AND('Configuración'!$B$24="OK",COUNT('Tarifas'!$B$26,'Tarifas'!$C$26)=2),('Tokens'!C10*'Tarifas'!$B$26+'Tokens'!D10*'Tarifas'!$C$26)/1000000*'Configuración'!$B$7*(1+'Configuración'!$B$8)*1,NA())</x:f>
        <x:v>0.0071886000000000025</x:v>
      </x:c>
      <x:c r="H67" s="31" t="n">
        <x:f>IF(AND('Configuración'!$B$24="OK",COUNT('Tarifas'!$B$26,'Tarifas'!$C$26)=2),('Tokens'!C11*'Tarifas'!$B$26+'Tokens'!D11*'Tarifas'!$C$26)/1000000*'Configuración'!$B$7*(1+'Configuración'!$B$8)*1,NA())</x:f>
        <x:v>0.006769800000000001</x:v>
      </x:c>
      <x:c r="I67" s="28" t="n">
        <x:f>SUM(C67:D67,E67,G67)</x:f>
        <x:v>0.080281</x:v>
      </x:c>
      <x:c r="J67" s="28" t="n">
        <x:f>SUM(C67:D67,F67,H67)</x:f>
        <x:v>0.08557060000000001</x:v>
      </x:c>
    </x:row>
    <x:row r="68" ht="23" customHeight="1">
      <x:c r="A68" s="16" t="str">
        <x:v>Kimi K3</x:v>
      </x:c>
      <x:c r="B68" s="16" t="str">
        <x:v>Media</x:v>
      </x:c>
      <x:c r="C68" s="32" t="n">
        <x:f>IF(AND('Configuración'!$B$24="OK",COUNT('Tarifas'!$B$26,'Tarifas'!$C$26)=2),('Tokens'!C12*'Tarifas'!$B$26+'Tokens'!D12*'Tarifas'!$C$26)/1000000*'Configuración'!$B$7*(1+'Configuración'!$B$8)*1*'Configuración'!$B$6,NA())</x:f>
        <x:v>0.02747592</x:v>
      </x:c>
      <x:c r="D68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68" s="32" t="n">
        <x:f>IF(AND('Configuración'!$B$24="OK",COUNT('Tarifas'!$B$26,'Tarifas'!$C$26)=2),('Tokens'!C13*'Tarifas'!$B$26+'Tokens'!D13*'Tarifas'!$C$26)/1000000*'Configuración'!$B$7*(1+'Configuración'!$B$8)*1,NA())</x:f>
        <x:v>0.11613276</x:v>
      </x:c>
      <x:c r="F68" s="32" t="n">
        <x:f>IF(AND('Configuración'!$B$24="OK",COUNT('Tarifas'!$B$26,'Tarifas'!$C$26)=2),('Tokens'!C14*'Tarifas'!$B$26+'Tokens'!D14*'Tarifas'!$C$26)/1000000*'Configuración'!$B$7*(1+'Configuración'!$B$8)*1,NA())</x:f>
        <x:v>0.16771308</x:v>
      </x:c>
      <x:c r="G68" s="32" t="n">
        <x:f>IF(AND('Configuración'!$B$24="OK",COUNT('Tarifas'!$B$26,'Tarifas'!$C$26)=2),('Tokens'!C15*'Tarifas'!$B$26+'Tokens'!D15*'Tarifas'!$C$26)/1000000*'Configuración'!$B$7*(1+'Configuración'!$B$8)*1,NA())</x:f>
        <x:v>0.03836592</x:v>
      </x:c>
      <x:c r="H68" s="32" t="n">
        <x:f>IF(AND('Configuración'!$B$24="OK",COUNT('Tarifas'!$B$26,'Tarifas'!$C$26)=2),('Tokens'!C16*'Tarifas'!$B$26+'Tokens'!D16*'Tarifas'!$C$26)/1000000*'Configuración'!$B$7*(1+'Configuración'!$B$8)*1,NA())</x:f>
        <x:v>0.03789096</x:v>
      </x:c>
      <x:c r="I68" s="30" t="n">
        <x:f>SUM(C68:D68,E68,G68)</x:f>
        <x:v>0.18197560000000002</x:v>
      </x:c>
      <x:c r="J68" s="30" t="n">
        <x:f>SUM(C68:D68,F68,H68)</x:f>
        <x:v>0.23308095999999998</x:v>
      </x:c>
    </x:row>
    <x:row r="69" ht="23" customHeight="1">
      <x:c r="A69" s="2" t="str">
        <x:v>Kimi K3</x:v>
      </x:c>
      <x:c r="B69" s="2" t="str">
        <x:v>Alta</x:v>
      </x:c>
      <x:c r="C69" s="31" t="n">
        <x:f>IF(AND('Configuración'!$B$24="OK",COUNT('Tarifas'!$B$26,'Tarifas'!$C$26)=2),('Tokens'!C17*'Tarifas'!$B$26+'Tokens'!D17*'Tarifas'!$C$26)/1000000*'Configuración'!$B$7*(1+'Configuración'!$B$8)*1*'Configuración'!$B$6,NA())</x:f>
        <x:v>0.028965300000000003</x:v>
      </x:c>
      <x:c r="D69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69" s="31" t="n">
        <x:f>IF(AND('Configuración'!$B$24="OK",COUNT('Tarifas'!$B$26,'Tarifas'!$C$26)=2),('Tokens'!C18*'Tarifas'!$B$26+'Tokens'!D18*'Tarifas'!$C$26)/1000000*'Configuración'!$B$7*(1+'Configuración'!$B$8)*1,NA())</x:f>
        <x:v>0.182292</x:v>
      </x:c>
      <x:c r="F69" s="31" t="n">
        <x:f>IF(AND('Configuración'!$B$24="OK",COUNT('Tarifas'!$B$26,'Tarifas'!$C$26)=2),('Tokens'!C19*'Tarifas'!$B$26+'Tokens'!D19*'Tarifas'!$C$26)/1000000*'Configuración'!$B$7*(1+'Configuración'!$B$8)*1,NA())</x:f>
        <x:v>0.49582020000000027</x:v>
      </x:c>
      <x:c r="G69" s="31" t="n">
        <x:f>IF(AND('Configuración'!$B$24="OK",COUNT('Tarifas'!$B$26,'Tarifas'!$C$26)=2),('Tokens'!C20*'Tarifas'!$B$26+'Tokens'!D20*'Tarifas'!$C$26)/1000000*'Configuración'!$B$7*(1+'Configuración'!$B$8)*1,NA())</x:f>
        <x:v>0.0730314</x:v>
      </x:c>
      <x:c r="H69" s="31" t="n">
        <x:f>IF(AND('Configuración'!$B$24="OK",COUNT('Tarifas'!$B$26,'Tarifas'!$C$26)=2),('Tokens'!C21*'Tarifas'!$B$26+'Tokens'!D21*'Tarifas'!$C$26)/1000000*'Configuración'!$B$7*(1+'Configuración'!$B$8)*1,NA())</x:f>
        <x:v>0.076356</x:v>
      </x:c>
      <x:c r="I69" s="28" t="n">
        <x:f>SUM(C69:D69,E69,G69)</x:f>
        <x:v>0.2842897</x:v>
      </x:c>
      <x:c r="J69" s="28" t="n">
        <x:f>SUM(C69:D69,F69,H69)</x:f>
        <x:v>0.6011425000000002</x:v>
      </x:c>
    </x:row>
    <x:row r="70" ht="23" customHeight="1">
      <x:c r="A70" s="16" t="str">
        <x:v>DeepSeek V4 Pro (punta)</x:v>
      </x:c>
      <x:c r="B70" s="16" t="str">
        <x:v>Baja</x:v>
      </x:c>
      <x:c r="C70" s="32" t="n">
        <x:f>IF(AND('Configuración'!$B$24="OK",COUNT('Tarifas'!$B$27,'Tarifas'!$C$27)=2),('Tokens'!C7*'Tarifas'!$B$27+'Tokens'!D7*'Tarifas'!$C$27)/1000000*'Configuración'!$B$7*(1+'Configuración'!$B$8)*1*'Configuración'!$B$6,NA())</x:f>
        <x:v>0.011184888</x:v>
      </x:c>
      <x:c r="D70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70" s="32" t="n">
        <x:f>IF(AND('Configuración'!$B$24="OK",COUNT('Tarifas'!$B$27,'Tarifas'!$C$27)=2),('Tokens'!C8*'Tarifas'!$B$27+'Tokens'!D8*'Tarifas'!$C$27)/1000000*'Configuración'!$B$7*(1+'Configuración'!$B$8)*1,NA())</x:f>
        <x:v>0.02042568</x:v>
      </x:c>
      <x:c r="F70" s="32" t="n">
        <x:f>IF(AND('Configuración'!$B$24="OK",COUNT('Tarifas'!$B$27,'Tarifas'!$C$27)=2),('Tokens'!C9*'Tarifas'!$B$27+'Tokens'!D9*'Tarifas'!$C$27)/1000000*'Configuración'!$B$7*(1+'Configuración'!$B$8)*1,NA())</x:f>
        <x:v>0.022759968000000002</x:v>
      </x:c>
      <x:c r="G70" s="32" t="n">
        <x:f>IF(AND('Configuración'!$B$24="OK",COUNT('Tarifas'!$B$27,'Tarifas'!$C$27)=2),('Tokens'!C10*'Tarifas'!$B$27+'Tokens'!D10*'Tarifas'!$C$27)/1000000*'Configuración'!$B$7*(1+'Configuración'!$B$8)*1,NA())</x:f>
        <x:v>0.0027564240000000012</x:v>
      </x:c>
      <x:c r="H70" s="32" t="n">
        <x:f>IF(AND('Configuración'!$B$24="OK",COUNT('Tarifas'!$B$27,'Tarifas'!$C$27)=2),('Tokens'!C11*'Tarifas'!$B$27+'Tokens'!D11*'Tarifas'!$C$27)/1000000*'Configuración'!$B$7*(1+'Configuración'!$B$8)*1,NA())</x:f>
        <x:v>0.0025346640000000007</x:v>
      </x:c>
      <x:c r="I70" s="30" t="n">
        <x:f>SUM(C70:D70,E70,G70)</x:f>
        <x:v>0.034367992</x:v>
      </x:c>
      <x:c r="J70" s="30" t="n">
        <x:f>SUM(C70:D70,F70,H70)</x:f>
        <x:v>0.03648052</x:v>
      </x:c>
    </x:row>
    <x:row r="71" ht="23" customHeight="1">
      <x:c r="A71" s="2" t="str">
        <x:v>DeepSeek V4 Pro (punta)</x:v>
      </x:c>
      <x:c r="B71" s="2" t="str">
        <x:v>Media</x:v>
      </x:c>
      <x:c r="C71" s="31" t="n">
        <x:f>IF(AND('Configuración'!$B$24="OK",COUNT('Tarifas'!$B$27,'Tarifas'!$C$27)=2),('Tokens'!C12*'Tarifas'!$B$27+'Tokens'!D12*'Tarifas'!$C$27)/1000000*'Configuración'!$B$7*(1+'Configuración'!$B$8)*1*'Configuración'!$B$6,NA())</x:f>
        <x:v>0.011538542400000002</x:v>
      </x:c>
      <x:c r="D71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71" s="31" t="n">
        <x:f>IF(AND('Configuración'!$B$24="OK",COUNT('Tarifas'!$B$27,'Tarifas'!$C$27)=2),('Tokens'!C13*'Tarifas'!$B$27+'Tokens'!D13*'Tarifas'!$C$27)/1000000*'Configuración'!$B$7*(1+'Configuración'!$B$8)*1,NA())</x:f>
        <x:v>0.0501226704</x:v>
      </x:c>
      <x:c r="F71" s="31" t="n">
        <x:f>IF(AND('Configuración'!$B$24="OK",COUNT('Tarifas'!$B$27,'Tarifas'!$C$27)=2),('Tokens'!C14*'Tarifas'!$B$27+'Tokens'!D14*'Tarifas'!$C$27)/1000000*'Configuración'!$B$7*(1+'Configuración'!$B$8)*1,NA())</x:f>
        <x:v>0.07079957279999999</x:v>
      </x:c>
      <x:c r="G71" s="31" t="n">
        <x:f>IF(AND('Configuración'!$B$24="OK",COUNT('Tarifas'!$B$27,'Tarifas'!$C$27)=2),('Tokens'!C15*'Tarifas'!$B$27+'Tokens'!D15*'Tarifas'!$C$27)/1000000*'Configuración'!$B$7*(1+'Configuración'!$B$8)*1,NA())</x:f>
        <x:v>0.015410524799999999</x:v>
      </x:c>
      <x:c r="H71" s="31" t="n">
        <x:f>IF(AND('Configuración'!$B$24="OK",COUNT('Tarifas'!$B$27,'Tarifas'!$C$27)=2),('Tokens'!C16*'Tarifas'!$B$27+'Tokens'!D16*'Tarifas'!$C$27)/1000000*'Configuración'!$B$7*(1+'Configuración'!$B$8)*1,NA())</x:f>
        <x:v>0.015528796800000001</x:v>
      </x:c>
      <x:c r="I71" s="28" t="n">
        <x:f>SUM(C71:D71,E71,G71)</x:f>
        <x:v>0.0770727376</x:v>
      </x:c>
      <x:c r="J71" s="28" t="n">
        <x:f>SUM(C71:D71,F71,H71)</x:f>
        <x:v>0.097867912</x:v>
      </x:c>
    </x:row>
    <x:row r="72" ht="23" customHeight="1">
      <x:c r="A72" s="16" t="str">
        <x:v>DeepSeek V4 Pro (punta)</x:v>
      </x:c>
      <x:c r="B72" s="16" t="str">
        <x:v>Alta</x:v>
      </x:c>
      <x:c r="C72" s="32" t="n">
        <x:f>IF(AND('Configuración'!$B$24="OK",COUNT('Tarifas'!$B$27,'Tarifas'!$C$27)=2),('Tokens'!C17*'Tarifas'!$B$27+'Tokens'!D17*'Tarifas'!$C$27)/1000000*'Configuración'!$B$7*(1+'Configuración'!$B$8)*1*'Configuración'!$B$6,NA())</x:f>
        <x:v>0.011934252000000001</x:v>
      </x:c>
      <x:c r="D72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72" s="32" t="n">
        <x:f>IF(AND('Configuración'!$B$24="OK",COUNT('Tarifas'!$B$27,'Tarifas'!$C$27)=2),('Tokens'!C18*'Tarifas'!$B$27+'Tokens'!D18*'Tarifas'!$C$27)/1000000*'Configuración'!$B$7*(1+'Configuración'!$B$8)*1,NA())</x:f>
        <x:v>0.078185712</x:v>
      </x:c>
      <x:c r="F72" s="32" t="n">
        <x:f>IF(AND('Configuración'!$B$24="OK",COUNT('Tarifas'!$B$27,'Tarifas'!$C$27)=2),('Tokens'!C19*'Tarifas'!$B$27+'Tokens'!D19*'Tarifas'!$C$27)/1000000*'Configuración'!$B$7*(1+'Configuración'!$B$8)*1,NA())</x:f>
        <x:v>0.21000909600000012</x:v>
      </x:c>
      <x:c r="G72" s="32" t="n">
        <x:f>IF(AND('Configuración'!$B$24="OK",COUNT('Tarifas'!$B$27,'Tarifas'!$C$27)=2),('Tokens'!C20*'Tarifas'!$B$27+'Tokens'!D20*'Tarifas'!$C$27)/1000000*'Configuración'!$B$7*(1+'Configuración'!$B$8)*1,NA())</x:f>
        <x:v>0.029513352</x:v>
      </x:c>
      <x:c r="H72" s="32" t="n">
        <x:f>IF(AND('Configuración'!$B$24="OK",COUNT('Tarifas'!$B$27,'Tarifas'!$C$27)=2),('Tokens'!C21*'Tarifas'!$B$27+'Tokens'!D21*'Tarifas'!$C$27)/1000000*'Configuración'!$B$7*(1+'Configuración'!$B$8)*1,NA())</x:f>
        <x:v>0.0315612</x:v>
      </x:c>
      <x:c r="I72" s="30" t="n">
        <x:f>SUM(C72:D72,E72,G72)</x:f>
        <x:v>0.11963431599999999</x:v>
      </x:c>
      <x:c r="J72" s="30" t="n">
        <x:f>SUM(C72:D72,F72,H72)</x:f>
        <x:v>0.25350554800000014</x:v>
      </x:c>
    </x:row>
    <x:row r="73" ht="23" customHeight="1">
      <x:c r="A73" s="2" t="str">
        <x:v>DeepSeek V4 Pro (valle)</x:v>
      </x:c>
      <x:c r="B73" s="2" t="str">
        <x:v>Baja</x:v>
      </x:c>
      <x:c r="C73" s="31" t="n">
        <x:f>IF(AND('Configuración'!$B$24="OK",COUNT('Tarifas'!$B$28,'Tarifas'!$C$28)=2),('Tokens'!C7*'Tarifas'!$B$28+'Tokens'!D7*'Tarifas'!$C$28)/1000000*'Configuración'!$B$7*(1+'Configuración'!$B$8)*1*'Configuración'!$B$6,NA())</x:f>
        <x:v>0.005592444</x:v>
      </x:c>
      <x:c r="D73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73" s="31" t="n">
        <x:f>IF(AND('Configuración'!$B$24="OK",COUNT('Tarifas'!$B$28,'Tarifas'!$C$28)=2),('Tokens'!C8*'Tarifas'!$B$28+'Tokens'!D8*'Tarifas'!$C$28)/1000000*'Configuración'!$B$7*(1+'Configuración'!$B$8)*1,NA())</x:f>
        <x:v>0.01021284</x:v>
      </x:c>
      <x:c r="F73" s="31" t="n">
        <x:f>IF(AND('Configuración'!$B$24="OK",COUNT('Tarifas'!$B$28,'Tarifas'!$C$28)=2),('Tokens'!C9*'Tarifas'!$B$28+'Tokens'!D9*'Tarifas'!$C$28)/1000000*'Configuración'!$B$7*(1+'Configuración'!$B$8)*1,NA())</x:f>
        <x:v>0.011379984000000001</x:v>
      </x:c>
      <x:c r="G73" s="31" t="n">
        <x:f>IF(AND('Configuración'!$B$24="OK",COUNT('Tarifas'!$B$28,'Tarifas'!$C$28)=2),('Tokens'!C10*'Tarifas'!$B$28+'Tokens'!D10*'Tarifas'!$C$28)/1000000*'Configuración'!$B$7*(1+'Configuración'!$B$8)*1,NA())</x:f>
        <x:v>0.0013782120000000006</x:v>
      </x:c>
      <x:c r="H73" s="31" t="n">
        <x:f>IF(AND('Configuración'!$B$24="OK",COUNT('Tarifas'!$B$28,'Tarifas'!$C$28)=2),('Tokens'!C11*'Tarifas'!$B$28+'Tokens'!D11*'Tarifas'!$C$28)/1000000*'Configuración'!$B$7*(1+'Configuración'!$B$8)*1,NA())</x:f>
        <x:v>0.0012673320000000004</x:v>
      </x:c>
      <x:c r="I73" s="28" t="n">
        <x:f>SUM(C73:D73,E73,G73)</x:f>
        <x:v>0.017184496</x:v>
      </x:c>
      <x:c r="J73" s="28" t="n">
        <x:f>SUM(C73:D73,F73,H73)</x:f>
        <x:v>0.01824076</x:v>
      </x:c>
    </x:row>
    <x:row r="74" ht="23" customHeight="1">
      <x:c r="A74" s="16" t="str">
        <x:v>DeepSeek V4 Pro (valle)</x:v>
      </x:c>
      <x:c r="B74" s="16" t="str">
        <x:v>Media</x:v>
      </x:c>
      <x:c r="C74" s="32" t="n">
        <x:f>IF(AND('Configuración'!$B$24="OK",COUNT('Tarifas'!$B$28,'Tarifas'!$C$28)=2),('Tokens'!C12*'Tarifas'!$B$28+'Tokens'!D12*'Tarifas'!$C$28)/1000000*'Configuración'!$B$7*(1+'Configuración'!$B$8)*1*'Configuración'!$B$6,NA())</x:f>
        <x:v>0.005769271200000001</x:v>
      </x:c>
      <x:c r="D74" s="32" t="n">
        <x:f>IF(AND('Configuración'!$B$24="OK",ISNUMBER('Tarifas'!$B$31)),'Configuración'!$B$9*'Configuración'!$B$10*(1-'Configuración'!$B$11)*'Tarifas'!$B$31/1000000*(1+'Configuración'!$B$8),NA())</x:f>
        <x:v>0.000001</x:v>
      </x:c>
      <x:c r="E74" s="32" t="n">
        <x:f>IF(AND('Configuración'!$B$24="OK",COUNT('Tarifas'!$B$28,'Tarifas'!$C$28)=2),('Tokens'!C13*'Tarifas'!$B$28+'Tokens'!D13*'Tarifas'!$C$28)/1000000*'Configuración'!$B$7*(1+'Configuración'!$B$8)*1,NA())</x:f>
        <x:v>0.0250613352</x:v>
      </x:c>
      <x:c r="F74" s="32" t="n">
        <x:f>IF(AND('Configuración'!$B$24="OK",COUNT('Tarifas'!$B$28,'Tarifas'!$C$28)=2),('Tokens'!C14*'Tarifas'!$B$28+'Tokens'!D14*'Tarifas'!$C$28)/1000000*'Configuración'!$B$7*(1+'Configuración'!$B$8)*1,NA())</x:f>
        <x:v>0.035399786399999994</x:v>
      </x:c>
      <x:c r="G74" s="32" t="n">
        <x:f>IF(AND('Configuración'!$B$24="OK",COUNT('Tarifas'!$B$28,'Tarifas'!$C$28)=2),('Tokens'!C15*'Tarifas'!$B$28+'Tokens'!D15*'Tarifas'!$C$28)/1000000*'Configuración'!$B$7*(1+'Configuración'!$B$8)*1,NA())</x:f>
        <x:v>0.007705262399999999</x:v>
      </x:c>
      <x:c r="H74" s="32" t="n">
        <x:f>IF(AND('Configuración'!$B$24="OK",COUNT('Tarifas'!$B$28,'Tarifas'!$C$28)=2),('Tokens'!C16*'Tarifas'!$B$28+'Tokens'!D16*'Tarifas'!$C$28)/1000000*'Configuración'!$B$7*(1+'Configuración'!$B$8)*1,NA())</x:f>
        <x:v>0.007764398400000001</x:v>
      </x:c>
      <x:c r="I74" s="30" t="n">
        <x:f>SUM(C74:D74,E74,G74)</x:f>
        <x:v>0.0385368688</x:v>
      </x:c>
      <x:c r="J74" s="30" t="n">
        <x:f>SUM(C74:D74,F74,H74)</x:f>
        <x:v>0.048934456</x:v>
      </x:c>
    </x:row>
    <x:row r="75" ht="23" customHeight="1">
      <x:c r="A75" s="2" t="str">
        <x:v>DeepSeek V4 Pro (valle)</x:v>
      </x:c>
      <x:c r="B75" s="2" t="str">
        <x:v>Alta</x:v>
      </x:c>
      <x:c r="C75" s="31" t="n">
        <x:f>IF(AND('Configuración'!$B$24="OK",COUNT('Tarifas'!$B$28,'Tarifas'!$C$28)=2),('Tokens'!C17*'Tarifas'!$B$28+'Tokens'!D17*'Tarifas'!$C$28)/1000000*'Configuración'!$B$7*(1+'Configuración'!$B$8)*1*'Configuración'!$B$6,NA())</x:f>
        <x:v>0.0059671260000000005</x:v>
      </x:c>
      <x:c r="D75" s="31" t="n">
        <x:f>IF(AND('Configuración'!$B$24="OK",ISNUMBER('Tarifas'!$B$31)),'Configuración'!$B$9*'Configuración'!$B$10*(1-'Configuración'!$B$11)*'Tarifas'!$B$31/1000000*(1+'Configuración'!$B$8),NA())</x:f>
        <x:v>0.000001</x:v>
      </x:c>
      <x:c r="E75" s="31" t="n">
        <x:f>IF(AND('Configuración'!$B$24="OK",COUNT('Tarifas'!$B$28,'Tarifas'!$C$28)=2),('Tokens'!C18*'Tarifas'!$B$28+'Tokens'!D18*'Tarifas'!$C$28)/1000000*'Configuración'!$B$7*(1+'Configuración'!$B$8)*1,NA())</x:f>
        <x:v>0.039092856</x:v>
      </x:c>
      <x:c r="F75" s="31" t="n">
        <x:f>IF(AND('Configuración'!$B$24="OK",COUNT('Tarifas'!$B$28,'Tarifas'!$C$28)=2),('Tokens'!C19*'Tarifas'!$B$28+'Tokens'!D19*'Tarifas'!$C$28)/1000000*'Configuración'!$B$7*(1+'Configuración'!$B$8)*1,NA())</x:f>
        <x:v>0.10500454800000006</x:v>
      </x:c>
      <x:c r="G75" s="31" t="n">
        <x:f>IF(AND('Configuración'!$B$24="OK",COUNT('Tarifas'!$B$28,'Tarifas'!$C$28)=2),('Tokens'!C20*'Tarifas'!$B$28+'Tokens'!D20*'Tarifas'!$C$28)/1000000*'Configuración'!$B$7*(1+'Configuración'!$B$8)*1,NA())</x:f>
        <x:v>0.014756676</x:v>
      </x:c>
      <x:c r="H75" s="31" t="n">
        <x:f>IF(AND('Configuración'!$B$24="OK",COUNT('Tarifas'!$B$28,'Tarifas'!$C$28)=2),('Tokens'!C21*'Tarifas'!$B$28+'Tokens'!D21*'Tarifas'!$C$28)/1000000*'Configuración'!$B$7*(1+'Configuración'!$B$8)*1,NA())</x:f>
        <x:v>0.0157806</x:v>
      </x:c>
      <x:c r="I75" s="28" t="n">
        <x:f>SUM(C75:D75,E75,G75)</x:f>
        <x:v>0.059817657999999996</x:v>
      </x:c>
      <x:c r="J75" s="28" t="n">
        <x:f>SUM(C75:D75,F75,H75)</x:f>
        <x:v>0.12675327400000005</x:v>
      </x:c>
    </x:row>
    <x:row r="76" ht="23" customHeight="1">
      <x:c r="A76" s="2"/>
      <x:c r="B76" s="2"/>
      <x:c r="C76" s="31"/>
      <x:c r="D76" s="31"/>
      <x:c r="E76" s="31"/>
      <x:c r="F76" s="31"/>
      <x:c r="G76" s="31"/>
      <x:c r="H76" s="31"/>
      <x:c r="I76" s="28"/>
      <x:c r="J76" s="28"/>
    </x:row>
    <x:row r="77" ht="23" customHeight="1">
      <x:c r="A77" s="2"/>
      <x:c r="B77" s="2"/>
      <x:c r="C77" s="31"/>
      <x:c r="D77" s="31"/>
      <x:c r="E77" s="31"/>
      <x:c r="F77" s="31"/>
      <x:c r="G77" s="31"/>
      <x:c r="H77" s="31"/>
      <x:c r="I77" s="28"/>
      <x:c r="J77" s="28"/>
    </x:row>
    <x:row r="78" ht="23" customHeight="1">
      <x:c r="A78" s="2"/>
      <x:c r="B78" s="2"/>
      <x:c r="C78" s="31"/>
      <x:c r="D78" s="31"/>
      <x:c r="E78" s="31"/>
      <x:c r="F78" s="31"/>
      <x:c r="G78" s="31"/>
      <x:c r="H78" s="31"/>
      <x:c r="I78" s="28"/>
      <x:c r="J78" s="28"/>
    </x:row>
    <x:row r="79" ht="23" customHeight="1">
      <x:c r="A79" s="2" t="str">
        <x:v>A medida</x:v>
      </x:c>
      <x:c r="B79" s="2" t="str">
        <x:v>Baja</x:v>
      </x:c>
      <x:c r="C79" s="31" t="n">
        <x:f>IF(AND('Configuración'!$B$24="OK",COUNT(INDEX('Tarifas'!$B$6:$B$28,MATCH('Configuración'!$B$15,'Tarifas'!$A$6:$A$28,0)),INDEX('Tarifas'!$C$6:$C$28,MATCH('Configuración'!$B$15,'Tarifas'!$A$6:$A$28,0)))=2),('Tokens'!C7*INDEX('Tarifas'!$B$6:$B$28,MATCH('Configuración'!$B$15,'Tarifas'!$A$6:$A$28,0))+'Tokens'!D7*INDEX('Tarifas'!$C$6:$C$28,MATCH('Configuración'!$B$15,'Tarifas'!$A$6:$A$28,0)))/1000000*'Configuración'!$B$7*(1+'Configuración'!$B$8)*'Configuración'!$B$19*'Configuración'!$B$6,NA())</x:f>
        <x:v>0.00653625</x:v>
      </x:c>
      <x:c r="D79" s="31" t="n">
        <x:f>IF(AND('Configuración'!$B$24="OK",ISNUMBER('Tarifas'!$B$31)),'Configuración'!$B$9*'Configuración'!$B$10*(1-'Configuración'!$B$11)*'Tarifas'!$B$31/1000000*(1+'Configuración'!$B$8)*'Configuración'!$B$22,NA())</x:f>
        <x:v>0.000001</x:v>
      </x:c>
      <x:c r="E79" s="31" t="n">
        <x:f>IF(AND('Configuración'!$B$24="OK",COUNT(INDEX('Tarifas'!$B$6:$B$28,MATCH('Configuración'!$B$16,'Tarifas'!$A$6:$A$28,0)),INDEX('Tarifas'!$C$6:$C$28,MATCH('Configuración'!$B$16,'Tarifas'!$A$6:$A$28,0)))=2),('Tokens'!C8*INDEX('Tarifas'!$B$6:$B$28,MATCH('Configuración'!$B$16,'Tarifas'!$A$6:$A$28,0))+'Tokens'!D8*INDEX('Tarifas'!$C$6:$C$28,MATCH('Configuración'!$B$16,'Tarifas'!$A$6:$A$28,0)))/1000000*'Configuración'!$B$7*(1+'Configuración'!$B$8)*'Configuración'!$B$20,NA())</x:f>
        <x:v>0.0117366</x:v>
      </x:c>
      <x:c r="F79" s="31" t="n">
        <x:f>IF(AND('Configuración'!$B$24="OK",COUNT(INDEX('Tarifas'!$B$6:$B$28,MATCH('Configuración'!$B$16,'Tarifas'!$A$6:$A$28,0)),INDEX('Tarifas'!$C$6:$C$28,MATCH('Configuración'!$B$16,'Tarifas'!$A$6:$A$28,0)))=2),('Tokens'!C9*INDEX('Tarifas'!$B$6:$B$28,MATCH('Configuración'!$B$16,'Tarifas'!$A$6:$A$28,0))+'Tokens'!D9*INDEX('Tarifas'!$C$6:$C$28,MATCH('Configuración'!$B$16,'Tarifas'!$A$6:$A$28,0)))/1000000*'Configuración'!$B$7*(1+'Configuración'!$B$8)*'Configuración'!$B$20,NA())</x:f>
        <x:v>0.013163699999999999</x:v>
      </x:c>
      <x:c r="G79" s="31" t="n">
        <x:f>IF(AND('Configuración'!$B$24="OK",COUNT(INDEX('Tarifas'!$B$6:$B$28,MATCH('Configuración'!$B$17,'Tarifas'!$A$6:$A$28,0)),INDEX('Tarifas'!$C$6:$C$28,MATCH('Configuración'!$B$17,'Tarifas'!$A$6:$A$28,0)))=2),('Tokens'!C10*INDEX('Tarifas'!$B$6:$B$28,MATCH('Configuración'!$B$17,'Tarifas'!$A$6:$A$28,0))+'Tokens'!D10*INDEX('Tarifas'!$C$6:$C$28,MATCH('Configuración'!$B$17,'Tarifas'!$A$6:$A$28,0)))/1000000*'Configuración'!$B$7*(1+'Configuración'!$B$8)*'Configuración'!$B$21,NA())</x:f>
        <x:v>0.0017971500000000006</x:v>
      </x:c>
      <x:c r="H79" s="31" t="n">
        <x:f>IF(AND('Configuración'!$B$24="OK",COUNT(INDEX('Tarifas'!$B$6:$B$28,MATCH('Configuración'!$B$17,'Tarifas'!$A$6:$A$28,0)),INDEX('Tarifas'!$C$6:$C$28,MATCH('Configuración'!$B$17,'Tarifas'!$A$6:$A$28,0)))=2),('Tokens'!C11*INDEX('Tarifas'!$B$6:$B$28,MATCH('Configuración'!$B$17,'Tarifas'!$A$6:$A$28,0))+'Tokens'!D11*INDEX('Tarifas'!$C$6:$C$28,MATCH('Configuración'!$B$17,'Tarifas'!$A$6:$A$28,0)))/1000000*'Configuración'!$B$7*(1+'Configuración'!$B$8)*'Configuración'!$B$21,NA())</x:f>
        <x:v>0.0016924500000000003</x:v>
      </x:c>
      <x:c r="I79" s="28" t="n">
        <x:f>IF(COUNT('Configuración'!$B$19:$B$22)=4,SUM(C79:D79,E79,G79),NA())</x:f>
        <x:v>0.020071000000000002</x:v>
      </x:c>
      <x:c r="J79" s="28" t="n">
        <x:f>IF(COUNT('Configuración'!$B$19:$B$22)=4,SUM(C79:D79,F79,H79),NA())</x:f>
        <x:v>0.0213934</x:v>
      </x:c>
    </x:row>
    <x:row r="80" ht="23" customHeight="1">
      <x:c r="A80" s="2" t="str">
        <x:v>A medida</x:v>
      </x:c>
      <x:c r="B80" s="2" t="str">
        <x:v>Media</x:v>
      </x:c>
      <x:c r="C80" s="31" t="n">
        <x:f>IF(AND('Configuración'!$B$24="OK",COUNT(INDEX('Tarifas'!$B$6:$B$28,MATCH('Configuración'!$B$15,'Tarifas'!$A$6:$A$28,0)),INDEX('Tarifas'!$C$6:$C$28,MATCH('Configuración'!$B$15,'Tarifas'!$A$6:$A$28,0)))=2),('Tokens'!C12*INDEX('Tarifas'!$B$6:$B$28,MATCH('Configuración'!$B$15,'Tarifas'!$A$6:$A$28,0))+'Tokens'!D12*INDEX('Tarifas'!$C$6:$C$28,MATCH('Configuración'!$B$15,'Tarifas'!$A$6:$A$28,0)))/1000000*'Configuración'!$B$7*(1+'Configuración'!$B$8)*'Configuración'!$B$19*'Configuración'!$B$6,NA())</x:f>
        <x:v>0.00686898</x:v>
      </x:c>
      <x:c r="D80" s="31" t="n">
        <x:f>IF(AND('Configuración'!$B$24="OK",ISNUMBER('Tarifas'!$B$31)),'Configuración'!$B$9*'Configuración'!$B$10*(1-'Configuración'!$B$11)*'Tarifas'!$B$31/1000000*(1+'Configuración'!$B$8)*'Configuración'!$B$22,NA())</x:f>
        <x:v>0.000001</x:v>
      </x:c>
      <x:c r="E80" s="31" t="n">
        <x:f>IF(AND('Configuración'!$B$24="OK",COUNT(INDEX('Tarifas'!$B$6:$B$28,MATCH('Configuración'!$B$16,'Tarifas'!$A$6:$A$28,0)),INDEX('Tarifas'!$C$6:$C$28,MATCH('Configuración'!$B$16,'Tarifas'!$A$6:$A$28,0)))=2),('Tokens'!C13*INDEX('Tarifas'!$B$6:$B$28,MATCH('Configuración'!$B$16,'Tarifas'!$A$6:$A$28,0))+'Tokens'!D13*INDEX('Tarifas'!$C$6:$C$28,MATCH('Configuración'!$B$16,'Tarifas'!$A$6:$A$28,0)))/1000000*'Configuración'!$B$7*(1+'Configuración'!$B$8)*'Configuración'!$B$20,NA())</x:f>
        <x:v>0.02903319</x:v>
      </x:c>
      <x:c r="F80" s="31" t="n">
        <x:f>IF(AND('Configuración'!$B$24="OK",COUNT(INDEX('Tarifas'!$B$6:$B$28,MATCH('Configuración'!$B$16,'Tarifas'!$A$6:$A$28,0)),INDEX('Tarifas'!$C$6:$C$28,MATCH('Configuración'!$B$16,'Tarifas'!$A$6:$A$28,0)))=2),('Tokens'!C14*INDEX('Tarifas'!$B$6:$B$28,MATCH('Configuración'!$B$16,'Tarifas'!$A$6:$A$28,0))+'Tokens'!D14*INDEX('Tarifas'!$C$6:$C$28,MATCH('Configuración'!$B$16,'Tarifas'!$A$6:$A$28,0)))/1000000*'Configuración'!$B$7*(1+'Configuración'!$B$8)*'Configuración'!$B$20,NA())</x:f>
        <x:v>0.04192827</x:v>
      </x:c>
      <x:c r="G80" s="31" t="n">
        <x:f>IF(AND('Configuración'!$B$24="OK",COUNT(INDEX('Tarifas'!$B$6:$B$28,MATCH('Configuración'!$B$17,'Tarifas'!$A$6:$A$28,0)),INDEX('Tarifas'!$C$6:$C$28,MATCH('Configuración'!$B$17,'Tarifas'!$A$6:$A$28,0)))=2),('Tokens'!C15*INDEX('Tarifas'!$B$6:$B$28,MATCH('Configuración'!$B$17,'Tarifas'!$A$6:$A$28,0))+'Tokens'!D15*INDEX('Tarifas'!$C$6:$C$28,MATCH('Configuración'!$B$17,'Tarifas'!$A$6:$A$28,0)))/1000000*'Configuración'!$B$7*(1+'Configuración'!$B$8)*'Configuración'!$B$21,NA())</x:f>
        <x:v>0.00959148</x:v>
      </x:c>
      <x:c r="H80" s="31" t="n">
        <x:f>IF(AND('Configuración'!$B$24="OK",COUNT(INDEX('Tarifas'!$B$6:$B$28,MATCH('Configuración'!$B$17,'Tarifas'!$A$6:$A$28,0)),INDEX('Tarifas'!$C$6:$C$28,MATCH('Configuración'!$B$17,'Tarifas'!$A$6:$A$28,0)))=2),('Tokens'!C16*INDEX('Tarifas'!$B$6:$B$28,MATCH('Configuración'!$B$17,'Tarifas'!$A$6:$A$28,0))+'Tokens'!D16*INDEX('Tarifas'!$C$6:$C$28,MATCH('Configuración'!$B$17,'Tarifas'!$A$6:$A$28,0)))/1000000*'Configuración'!$B$7*(1+'Configuración'!$B$8)*'Configuración'!$B$21,NA())</x:f>
        <x:v>0.00947274</x:v>
      </x:c>
      <x:c r="I80" s="28" t="n">
        <x:f>IF(COUNT('Configuración'!$B$19:$B$22)=4,SUM(C80:D80,E80,G80),NA())</x:f>
        <x:v>0.04549465</x:v>
      </x:c>
      <x:c r="J80" s="28" t="n">
        <x:f>IF(COUNT('Configuración'!$B$19:$B$22)=4,SUM(C80:D80,F80,H80),NA())</x:f>
        <x:v>0.058270989999999995</x:v>
      </x:c>
    </x:row>
    <x:row r="81" ht="23" customHeight="1">
      <x:c r="A81" s="2" t="str">
        <x:v>A medida</x:v>
      </x:c>
      <x:c r="B81" s="2" t="str">
        <x:v>Alta</x:v>
      </x:c>
      <x:c r="C81" s="31" t="n">
        <x:f>IF(AND('Configuración'!$B$24="OK",COUNT(INDEX('Tarifas'!$B$6:$B$28,MATCH('Configuración'!$B$15,'Tarifas'!$A$6:$A$28,0)),INDEX('Tarifas'!$C$6:$C$28,MATCH('Configuración'!$B$15,'Tarifas'!$A$6:$A$28,0)))=2),('Tokens'!C17*INDEX('Tarifas'!$B$6:$B$28,MATCH('Configuración'!$B$15,'Tarifas'!$A$6:$A$28,0))+'Tokens'!D17*INDEX('Tarifas'!$C$6:$C$28,MATCH('Configuración'!$B$15,'Tarifas'!$A$6:$A$28,0)))/1000000*'Configuración'!$B$7*(1+'Configuración'!$B$8)*'Configuración'!$B$19*'Configuración'!$B$6,NA())</x:f>
        <x:v>0.007241325000000001</x:v>
      </x:c>
      <x:c r="D81" s="31" t="n">
        <x:f>IF(AND('Configuración'!$B$24="OK",ISNUMBER('Tarifas'!$B$31)),'Configuración'!$B$9*'Configuración'!$B$10*(1-'Configuración'!$B$11)*'Tarifas'!$B$31/1000000*(1+'Configuración'!$B$8)*'Configuración'!$B$22,NA())</x:f>
        <x:v>0.000001</x:v>
      </x:c>
      <x:c r="E81" s="31" t="n">
        <x:f>IF(AND('Configuración'!$B$24="OK",COUNT(INDEX('Tarifas'!$B$6:$B$28,MATCH('Configuración'!$B$16,'Tarifas'!$A$6:$A$28,0)),INDEX('Tarifas'!$C$6:$C$28,MATCH('Configuración'!$B$16,'Tarifas'!$A$6:$A$28,0)))=2),('Tokens'!C18*INDEX('Tarifas'!$B$6:$B$28,MATCH('Configuración'!$B$16,'Tarifas'!$A$6:$A$28,0))+'Tokens'!D18*INDEX('Tarifas'!$C$6:$C$28,MATCH('Configuración'!$B$16,'Tarifas'!$A$6:$A$28,0)))/1000000*'Configuración'!$B$7*(1+'Configuración'!$B$8)*'Configuración'!$B$20,NA())</x:f>
        <x:v>0.045573</x:v>
      </x:c>
      <x:c r="F81" s="31" t="n">
        <x:f>IF(AND('Configuración'!$B$24="OK",COUNT(INDEX('Tarifas'!$B$6:$B$28,MATCH('Configuración'!$B$16,'Tarifas'!$A$6:$A$28,0)),INDEX('Tarifas'!$C$6:$C$28,MATCH('Configuración'!$B$16,'Tarifas'!$A$6:$A$28,0)))=2),('Tokens'!C19*INDEX('Tarifas'!$B$6:$B$28,MATCH('Configuración'!$B$16,'Tarifas'!$A$6:$A$28,0))+'Tokens'!D19*INDEX('Tarifas'!$C$6:$C$28,MATCH('Configuración'!$B$16,'Tarifas'!$A$6:$A$28,0)))/1000000*'Configuración'!$B$7*(1+'Configuración'!$B$8)*'Configuración'!$B$20,NA())</x:f>
        <x:v>0.12395505000000007</x:v>
      </x:c>
      <x:c r="G81" s="31" t="n">
        <x:f>IF(AND('Configuración'!$B$24="OK",COUNT(INDEX('Tarifas'!$B$6:$B$28,MATCH('Configuración'!$B$17,'Tarifas'!$A$6:$A$28,0)),INDEX('Tarifas'!$C$6:$C$28,MATCH('Configuración'!$B$17,'Tarifas'!$A$6:$A$28,0)))=2),('Tokens'!C20*INDEX('Tarifas'!$B$6:$B$28,MATCH('Configuración'!$B$17,'Tarifas'!$A$6:$A$28,0))+'Tokens'!D20*INDEX('Tarifas'!$C$6:$C$28,MATCH('Configuración'!$B$17,'Tarifas'!$A$6:$A$28,0)))/1000000*'Configuración'!$B$7*(1+'Configuración'!$B$8)*'Configuración'!$B$21,NA())</x:f>
        <x:v>0.01825785</x:v>
      </x:c>
      <x:c r="H81" s="31" t="n">
        <x:f>IF(AND('Configuración'!$B$24="OK",COUNT(INDEX('Tarifas'!$B$6:$B$28,MATCH('Configuración'!$B$17,'Tarifas'!$A$6:$A$28,0)),INDEX('Tarifas'!$C$6:$C$28,MATCH('Configuración'!$B$17,'Tarifas'!$A$6:$A$28,0)))=2),('Tokens'!C21*INDEX('Tarifas'!$B$6:$B$28,MATCH('Configuración'!$B$17,'Tarifas'!$A$6:$A$28,0))+'Tokens'!D21*INDEX('Tarifas'!$C$6:$C$28,MATCH('Configuración'!$B$17,'Tarifas'!$A$6:$A$28,0)))/1000000*'Configuración'!$B$7*(1+'Configuración'!$B$8)*'Configuración'!$B$21,NA())</x:f>
        <x:v>0.019089</x:v>
      </x:c>
      <x:c r="I81" s="28" t="n">
        <x:f>IF(COUNT('Configuración'!$B$19:$B$22)=4,SUM(C81:D81,E81,G81),NA())</x:f>
        <x:v>0.071073175</x:v>
      </x:c>
      <x:c r="J81" s="28" t="n">
        <x:f>IF(COUNT('Configuración'!$B$19:$B$22)=4,SUM(C81:D81,F81,H81),NA())</x:f>
        <x:v>0.15028637500000006</x:v>
      </x:c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9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5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9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3" t="str">
        <x:v>Tokens de las pruebas existentes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3" customHeight="1">
      <x:c r="A4" s="2" t="str">
        <x:v>Muestra activa</x:v>
      </x:c>
      <x:c r="B4" s="2"/>
      <x:c r="C4" s="2" t="str">
        <x:f>'Configuración'!B5</x:f>
        <x:v>traveler-50-flash-v3-20260911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6" customHeight="1">
      <x:c r="A6" s="15" t="str">
        <x:v>Etapa</x:v>
      </x:c>
      <x:c r="B6" s="15" t="str">
        <x:v>Banda</x:v>
      </x:c>
      <x:c r="C6" s="15" t="str">
        <x:v>Entrada facturable</x:v>
      </x:c>
      <x:c r="D6" s="15" t="str">
        <x:v>Salida incl. thinking</x:v>
      </x:c>
      <x:c r="E6" s="15" t="str">
        <x:v>N operaciones</x:v>
      </x:c>
      <x:c r="F6" s="2"/>
      <x:c r="G6" s="2"/>
      <x:c r="H6" s="2"/>
      <x:c r="I6" s="2"/>
      <x:c r="J6" s="2"/>
      <x:c r="K6" s="2"/>
      <x:c r="L6" s="2"/>
      <x:c r="M6" s="2"/>
    </x:row>
    <x:row r="7" ht="23" customHeight="1">
      <x:c r="A7" s="2" t="str">
        <x:v>Extracción de filtros</x:v>
      </x:c>
      <x:c r="B7" s="2" t="str">
        <x:v>Baja</x:v>
      </x:c>
      <x:c r="C7" s="24" t="n">
        <x:f>VLOOKUP('Configuración'!$B$5&amp;"/extract",$A$32:$M$51,4,FALSE)</x:f>
        <x:v>8111</x:v>
      </x:c>
      <x:c r="D7" s="24" t="n">
        <x:f>VLOOKUP('Configuración'!$B$5&amp;"/extract",$A$32:$M$51,7,FALSE)</x:f>
        <x:v>120.8</x:v>
      </x:c>
      <x:c r="E7" s="26" t="n">
        <x:f>VLOOKUP('Configuración'!$B$5&amp;"/extract",$A$32:$M$51,3,FALSE)</x:f>
        <x:v>50</x:v>
      </x:c>
      <x:c r="F7" s="2"/>
      <x:c r="G7" s="2"/>
      <x:c r="H7" s="2"/>
      <x:c r="I7" s="2"/>
      <x:c r="J7" s="2"/>
      <x:c r="K7" s="2"/>
      <x:c r="L7" s="2"/>
      <x:c r="M7" s="2"/>
    </x:row>
    <x:row r="8" ht="23" customHeight="1">
      <x:c r="A8" s="16" t="str">
        <x:v>Agente con plantilla</x:v>
      </x:c>
      <x:c r="B8" s="16" t="str">
        <x:v>Baja</x:v>
      </x:c>
      <x:c r="C8" s="25" t="n">
        <x:f>VLOOKUP('Configuración'!$B$5&amp;"/orch_template",$A$32:$M$51,4,FALSE)</x:f>
        <x:v>15211.800000000001</x:v>
      </x:c>
      <x:c r="D8" s="25" t="n">
        <x:f>VLOOKUP('Configuración'!$B$5&amp;"/orch_template",$A$32:$M$51,7,FALSE)</x:f>
        <x:v>87.4</x:v>
      </x:c>
      <x:c r="E8" s="27" t="n">
        <x:f>VLOOKUP('Configuración'!$B$5&amp;"/orch_template",$A$32:$M$51,3,FALSE)</x:f>
        <x:v>25</x:v>
      </x:c>
      <x:c r="F8" s="2"/>
      <x:c r="G8" s="2"/>
      <x:c r="H8" s="2"/>
      <x:c r="I8" s="2"/>
      <x:c r="J8" s="2"/>
      <x:c r="K8" s="2"/>
      <x:c r="L8" s="2"/>
      <x:c r="M8" s="2"/>
    </x:row>
    <x:row r="9" ht="23" customHeight="1">
      <x:c r="A9" s="2" t="str">
        <x:v>Agente con motivos IA</x:v>
      </x:c>
      <x:c r="B9" s="2" t="str">
        <x:v>Baja</x:v>
      </x:c>
      <x:c r="C9" s="24" t="n">
        <x:f>VLOOKUP('Configuración'!$B$5&amp;"/orch_generated",$A$32:$M$51,4,FALSE)</x:f>
        <x:v>16778.6</x:v>
      </x:c>
      <x:c r="D9" s="24" t="n">
        <x:f>VLOOKUP('Configuración'!$B$5&amp;"/orch_generated",$A$32:$M$51,7,FALSE)</x:f>
        <x:v>154.6</x:v>
      </x:c>
      <x:c r="E9" s="26" t="n">
        <x:f>VLOOKUP('Configuración'!$B$5&amp;"/orch_generated",$A$32:$M$51,3,FALSE)</x:f>
        <x:v>25</x:v>
      </x:c>
      <x:c r="F9" s="2"/>
      <x:c r="G9" s="2"/>
      <x:c r="H9" s="2"/>
      <x:c r="I9" s="2"/>
      <x:c r="J9" s="2"/>
      <x:c r="K9" s="2"/>
      <x:c r="L9" s="2"/>
      <x:c r="M9" s="2"/>
    </x:row>
    <x:row r="10" ht="23" customHeight="1">
      <x:c r="A10" s="16" t="str">
        <x:v>Juez sobre plantilla</x:v>
      </x:c>
      <x:c r="B10" s="16" t="str">
        <x:v>Baja</x:v>
      </x:c>
      <x:c r="C10" s="25" t="n">
        <x:f>VLOOKUP('Configuración'!$B$5&amp;"/judge_template",$A$32:$M$51,4,FALSE)</x:f>
        <x:v>1626.2000000000007</x:v>
      </x:c>
      <x:c r="D10" s="25" t="n">
        <x:f>VLOOKUP('Configuración'!$B$5&amp;"/judge_template",$A$32:$M$51,7,FALSE)</x:f>
        <x:v>154</x:v>
      </x:c>
      <x:c r="E10" s="27" t="n">
        <x:f>VLOOKUP('Configuración'!$B$5&amp;"/judge_template",$A$32:$M$51,3,FALSE)</x:f>
        <x:v>25</x:v>
      </x:c>
      <x:c r="F10" s="2"/>
      <x:c r="G10" s="2"/>
      <x:c r="H10" s="2"/>
      <x:c r="I10" s="2"/>
      <x:c r="J10" s="2"/>
      <x:c r="K10" s="2"/>
      <x:c r="L10" s="2"/>
      <x:c r="M10" s="2"/>
    </x:row>
    <x:row r="11" ht="23" customHeight="1">
      <x:c r="A11" s="2" t="str">
        <x:v>Juez sobre motivos IA</x:v>
      </x:c>
      <x:c r="B11" s="2" t="str">
        <x:v>Baja</x:v>
      </x:c>
      <x:c r="C11" s="24" t="n">
        <x:f>VLOOKUP('Configuración'!$B$5&amp;"/judge_generated",$A$32:$M$51,4,FALSE)</x:f>
        <x:v>1415.6000000000004</x:v>
      </x:c>
      <x:c r="D11" s="24" t="n">
        <x:f>VLOOKUP('Configuración'!$B$5&amp;"/judge_generated",$A$32:$M$51,7,FALSE)</x:f>
        <x:v>168.2</x:v>
      </x:c>
      <x:c r="E11" s="26" t="n">
        <x:f>VLOOKUP('Configuración'!$B$5&amp;"/judge_generated",$A$32:$M$51,3,FALSE)</x:f>
        <x:v>25</x:v>
      </x:c>
      <x:c r="F11" s="2"/>
      <x:c r="G11" s="2"/>
      <x:c r="H11" s="2"/>
      <x:c r="I11" s="2"/>
      <x:c r="J11" s="2"/>
      <x:c r="K11" s="2"/>
      <x:c r="L11" s="2"/>
      <x:c r="M11" s="2"/>
    </x:row>
    <x:row r="12" ht="23" customHeight="1">
      <x:c r="A12" s="16" t="str">
        <x:v>Extracción de filtros</x:v>
      </x:c>
      <x:c r="B12" s="16" t="str">
        <x:v>Media</x:v>
      </x:c>
      <x:c r="C12" s="25" t="n">
        <x:f>VLOOKUP('Configuración'!$B$5&amp;"/extract",$A$32:$M$51,5,FALSE)</x:f>
        <x:v>8115.34</x:v>
      </x:c>
      <x:c r="D12" s="25" t="n">
        <x:f>VLOOKUP('Configuración'!$B$5&amp;"/extract",$A$32:$M$51,8,FALSE)</x:f>
        <x:v>208.66</x:v>
      </x:c>
      <x:c r="E12" s="27" t="n">
        <x:f>VLOOKUP('Configuración'!$B$5&amp;"/extract",$A$32:$M$51,3,FALSE)</x:f>
        <x:v>50</x:v>
      </x:c>
      <x:c r="F12" s="2"/>
      <x:c r="G12" s="2"/>
      <x:c r="H12" s="2"/>
      <x:c r="I12" s="2"/>
      <x:c r="J12" s="2"/>
      <x:c r="K12" s="2"/>
      <x:c r="L12" s="2"/>
      <x:c r="M12" s="2"/>
    </x:row>
    <x:row r="13" ht="23" customHeight="1">
      <x:c r="A13" s="2" t="str">
        <x:v>Agente con plantilla</x:v>
      </x:c>
      <x:c r="B13" s="2" t="str">
        <x:v>Media</x:v>
      </x:c>
      <x:c r="C13" s="24" t="n">
        <x:f>VLOOKUP('Configuración'!$B$5&amp;"/orch_template",$A$32:$M$51,5,FALSE)</x:f>
        <x:v>36862.92</x:v>
      </x:c>
      <x:c r="D13" s="24" t="n">
        <x:f>VLOOKUP('Configuración'!$B$5&amp;"/orch_template",$A$32:$M$51,8,FALSE)</x:f>
        <x:v>369.6</x:v>
      </x:c>
      <x:c r="E13" s="26" t="n">
        <x:f>VLOOKUP('Configuración'!$B$5&amp;"/orch_template",$A$32:$M$51,3,FALSE)</x:f>
        <x:v>25</x:v>
      </x:c>
      <x:c r="F13" s="2"/>
      <x:c r="G13" s="2"/>
      <x:c r="H13" s="2"/>
      <x:c r="I13" s="2"/>
      <x:c r="J13" s="2"/>
      <x:c r="K13" s="2"/>
      <x:c r="L13" s="2"/>
      <x:c r="M13" s="2"/>
    </x:row>
    <x:row r="14" ht="23" customHeight="1">
      <x:c r="A14" s="16" t="str">
        <x:v>Agente con motivos IA</x:v>
      </x:c>
      <x:c r="B14" s="16" t="str">
        <x:v>Media</x:v>
      </x:c>
      <x:c r="C14" s="25" t="n">
        <x:f>VLOOKUP('Configuración'!$B$5&amp;"/orch_generated",$A$32:$M$51,5,FALSE)</x:f>
        <x:v>50233.56</x:v>
      </x:c>
      <x:c r="D14" s="25" t="n">
        <x:f>VLOOKUP('Configuración'!$B$5&amp;"/orch_generated",$A$32:$M$51,8,FALSE)</x:f>
        <x:v>1134.16</x:v>
      </x:c>
      <x:c r="E14" s="27" t="n">
        <x:f>VLOOKUP('Configuración'!$B$5&amp;"/orch_generated",$A$32:$M$51,3,FALSE)</x:f>
        <x:v>25</x:v>
      </x:c>
      <x:c r="F14" s="2"/>
      <x:c r="G14" s="2"/>
      <x:c r="H14" s="2"/>
      <x:c r="I14" s="2"/>
      <x:c r="J14" s="2"/>
      <x:c r="K14" s="2"/>
      <x:c r="L14" s="2"/>
      <x:c r="M14" s="2"/>
    </x:row>
    <x:row r="15" ht="23" customHeight="1">
      <x:c r="A15" s="2" t="str">
        <x:v>Juez sobre plantilla</x:v>
      </x:c>
      <x:c r="B15" s="2" t="str">
        <x:v>Media</x:v>
      </x:c>
      <x:c r="C15" s="24" t="n">
        <x:f>VLOOKUP('Configuración'!$B$5&amp;"/judge_template",$A$32:$M$51,5,FALSE)</x:f>
        <x:v>10003.64</x:v>
      </x:c>
      <x:c r="D15" s="24" t="n">
        <x:f>VLOOKUP('Configuración'!$B$5&amp;"/judge_template",$A$32:$M$51,8,FALSE)</x:f>
        <x:v>557</x:v>
      </x:c>
      <x:c r="E15" s="26" t="n">
        <x:f>VLOOKUP('Configuración'!$B$5&amp;"/judge_template",$A$32:$M$51,3,FALSE)</x:f>
        <x:v>25</x:v>
      </x:c>
      <x:c r="F15" s="2"/>
      <x:c r="G15" s="2"/>
      <x:c r="H15" s="2"/>
      <x:c r="I15" s="2"/>
      <x:c r="J15" s="2"/>
      <x:c r="K15" s="2"/>
      <x:c r="L15" s="2"/>
      <x:c r="M15" s="2"/>
    </x:row>
    <x:row r="16" ht="23" customHeight="1">
      <x:c r="A16" s="16" t="str">
        <x:v>Juez sobre motivos IA</x:v>
      </x:c>
      <x:c r="B16" s="16" t="str">
        <x:v>Media</x:v>
      </x:c>
      <x:c r="C16" s="25" t="n">
        <x:f>VLOOKUP('Configuración'!$B$5&amp;"/judge_generated",$A$32:$M$51,5,FALSE)</x:f>
        <x:v>10465.12</x:v>
      </x:c>
      <x:c r="D16" s="25" t="n">
        <x:f>VLOOKUP('Configuración'!$B$5&amp;"/judge_generated",$A$32:$M$51,8,FALSE)</x:f>
        <x:v>433.04</x:v>
      </x:c>
      <x:c r="E16" s="27" t="n">
        <x:f>VLOOKUP('Configuración'!$B$5&amp;"/judge_generated",$A$32:$M$51,3,FALSE)</x:f>
        <x:v>25</x:v>
      </x:c>
      <x:c r="F16" s="2"/>
      <x:c r="G16" s="2"/>
      <x:c r="H16" s="2"/>
      <x:c r="I16" s="2"/>
      <x:c r="J16" s="2"/>
      <x:c r="K16" s="2"/>
      <x:c r="L16" s="2"/>
      <x:c r="M16" s="2"/>
    </x:row>
    <x:row r="17" ht="23" customHeight="1">
      <x:c r="A17" s="2" t="str">
        <x:v>Extracción de filtros</x:v>
      </x:c>
      <x:c r="B17" s="2" t="str">
        <x:v>Alta</x:v>
      </x:c>
      <x:c r="C17" s="24" t="n">
        <x:f>VLOOKUP('Configuración'!$B$5&amp;"/extract",$A$32:$M$51,6,FALSE)</x:f>
        <x:v>8120.1</x:v>
      </x:c>
      <x:c r="D17" s="24" t="n">
        <x:f>VLOOKUP('Configuración'!$B$5&amp;"/extract",$A$32:$M$51,9,FALSE)</x:f>
        <x:v>307</x:v>
      </x:c>
      <x:c r="E17" s="26" t="n">
        <x:f>VLOOKUP('Configuración'!$B$5&amp;"/extract",$A$32:$M$51,3,FALSE)</x:f>
        <x:v>50</x:v>
      </x:c>
      <x:c r="F17" s="2"/>
      <x:c r="G17" s="2"/>
      <x:c r="H17" s="2"/>
      <x:c r="I17" s="2"/>
      <x:c r="J17" s="2"/>
      <x:c r="K17" s="2"/>
      <x:c r="L17" s="2"/>
      <x:c r="M17" s="2"/>
    </x:row>
    <x:row r="18" ht="23" customHeight="1">
      <x:c r="A18" s="16" t="str">
        <x:v>Agente con plantilla</x:v>
      </x:c>
      <x:c r="B18" s="16" t="str">
        <x:v>Alta</x:v>
      </x:c>
      <x:c r="C18" s="25" t="n">
        <x:f>VLOOKUP('Configuración'!$B$5&amp;"/orch_template",$A$32:$M$51,6,FALSE)</x:f>
        <x:v>56933</x:v>
      </x:c>
      <x:c r="D18" s="25" t="n">
        <x:f>VLOOKUP('Configuración'!$B$5&amp;"/orch_template",$A$32:$M$51,9,FALSE)</x:f>
        <x:v>766.2000000000003</x:v>
      </x:c>
      <x:c r="E18" s="27" t="n">
        <x:f>VLOOKUP('Configuración'!$B$5&amp;"/orch_template",$A$32:$M$51,3,FALSE)</x:f>
        <x:v>25</x:v>
      </x:c>
      <x:c r="F18" s="2"/>
      <x:c r="G18" s="2"/>
      <x:c r="H18" s="2"/>
      <x:c r="I18" s="2"/>
      <x:c r="J18" s="2"/>
      <x:c r="K18" s="2"/>
      <x:c r="L18" s="2"/>
      <x:c r="M18" s="2"/>
    </x:row>
    <x:row r="19" ht="23" customHeight="1">
      <x:c r="A19" s="2" t="str">
        <x:v>Agente con motivos IA</x:v>
      </x:c>
      <x:c r="B19" s="2" t="str">
        <x:v>Alta</x:v>
      </x:c>
      <x:c r="C19" s="24" t="n">
        <x:f>VLOOKUP('Configuración'!$B$5&amp;"/orch_generated",$A$32:$M$51,6,FALSE)</x:f>
        <x:v>149834.40000000008</x:v>
      </x:c>
      <x:c r="D19" s="24" t="n">
        <x:f>VLOOKUP('Configuración'!$B$5&amp;"/orch_generated",$A$32:$M$51,9,FALSE)</x:f>
        <x:v>3087.8000000000006</x:v>
      </x:c>
      <x:c r="E19" s="26" t="n">
        <x:f>VLOOKUP('Configuración'!$B$5&amp;"/orch_generated",$A$32:$M$51,3,FALSE)</x:f>
        <x:v>25</x:v>
      </x:c>
      <x:c r="F19" s="2"/>
      <x:c r="G19" s="2"/>
      <x:c r="H19" s="2"/>
      <x:c r="I19" s="2"/>
      <x:c r="J19" s="2"/>
      <x:c r="K19" s="2"/>
      <x:c r="L19" s="2"/>
      <x:c r="M19" s="2"/>
    </x:row>
    <x:row r="20" ht="23" customHeight="1">
      <x:c r="A20" s="16" t="str">
        <x:v>Juez sobre plantilla</x:v>
      </x:c>
      <x:c r="B20" s="16" t="str">
        <x:v>Alta</x:v>
      </x:c>
      <x:c r="C20" s="25" t="n">
        <x:f>VLOOKUP('Configuración'!$B$5&amp;"/judge_template",$A$32:$M$51,6,FALSE)</x:f>
        <x:v>19380.8</x:v>
      </x:c>
      <x:c r="D20" s="25" t="n">
        <x:f>VLOOKUP('Configuración'!$B$5&amp;"/judge_template",$A$32:$M$51,9,FALSE)</x:f>
        <x:v>992.6000000000001</x:v>
      </x:c>
      <x:c r="E20" s="27" t="n">
        <x:f>VLOOKUP('Configuración'!$B$5&amp;"/judge_template",$A$32:$M$51,3,FALSE)</x:f>
        <x:v>25</x:v>
      </x:c>
      <x:c r="F20" s="2"/>
      <x:c r="G20" s="2"/>
      <x:c r="H20" s="2"/>
      <x:c r="I20" s="2"/>
      <x:c r="J20" s="2"/>
      <x:c r="K20" s="2"/>
      <x:c r="L20" s="2"/>
      <x:c r="M20" s="2"/>
    </x:row>
    <x:row r="21" ht="23" customHeight="1">
      <x:c r="A21" s="2" t="str">
        <x:v>Juez sobre motivos IA</x:v>
      </x:c>
      <x:c r="B21" s="2" t="str">
        <x:v>Alta</x:v>
      </x:c>
      <x:c r="C21" s="24" t="n">
        <x:f>VLOOKUP('Configuración'!$B$5&amp;"/judge_generated",$A$32:$M$51,6,FALSE)</x:f>
        <x:v>21597</x:v>
      </x:c>
      <x:c r="D21" s="24" t="n">
        <x:f>VLOOKUP('Configuración'!$B$5&amp;"/judge_generated",$A$32:$M$51,9,FALSE)</x:f>
        <x:v>771.0000000000002</x:v>
      </x:c>
      <x:c r="E21" s="26" t="n">
        <x:f>VLOOKUP('Configuración'!$B$5&amp;"/judge_generated",$A$32:$M$51,3,FALSE)</x:f>
        <x:v>25</x:v>
      </x:c>
      <x:c r="F21" s="2"/>
      <x:c r="G21" s="2"/>
      <x:c r="H21" s="2"/>
      <x:c r="I21" s="2"/>
      <x:c r="J21" s="2"/>
      <x:c r="K21" s="2"/>
      <x:c r="L21" s="2"/>
      <x:c r="M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3" customHeight="1">
      <x:c r="A24" s="2" t="str">
        <x:v>Entrada total, sin asumir descuentos de caché. Salida incluye razonamiento; consumo por operación completa.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3" customHeight="1">
      <x:c r="A25" s="2" t="str">
        <x:v>Baja = P10; Media = promedio; Alta = P90. Percentiles calculados sobre casos disponibles por etapa.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3" customHeight="1">
      <x:c r="A26" s="2" t="str">
        <x:v>Las pruebas v3/v5 son versiones históricas. No estiman por sí solas la calidad ni el tráfico de producción.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3" customHeight="1">
      <x:c r="A27" s="2" t="str">
        <x:v>Template/generated usa diferentes frases. Separar sus paquetes evita atribuir una diferencia causal a redactar.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46" customHeight="1">
      <x:c r="A31" s="15" t="str">
        <x:v>Clave de muestra / etapa</x:v>
      </x:c>
      <x:c r="B31" s="15" t="str">
        <x:v>Etapa</x:v>
      </x:c>
      <x:c r="C31" s="15" t="str">
        <x:v>N</x:v>
      </x:c>
      <x:c r="D31" s="15" t="str">
        <x:v>Input P10</x:v>
      </x:c>
      <x:c r="E31" s="15" t="str">
        <x:v>Input media</x:v>
      </x:c>
      <x:c r="F31" s="15" t="str">
        <x:v>Input P90</x:v>
      </x:c>
      <x:c r="G31" s="15" t="str">
        <x:v>Output P10</x:v>
      </x:c>
      <x:c r="H31" s="15" t="str">
        <x:v>Output media</x:v>
      </x:c>
      <x:c r="I31" s="15" t="str">
        <x:v>Output P90</x:v>
      </x:c>
      <x:c r="J31" s="15" t="str">
        <x:v>Cache media</x:v>
      </x:c>
      <x:c r="K31" s="15" t="str">
        <x:v>Thinking media</x:v>
      </x:c>
      <x:c r="L31" s="15" t="str"/>
      <x:c r="M31" s="15" t="str">
        <x:v>Fuente local</x:v>
      </x:c>
    </x:row>
    <x:row r="32" ht="23" customHeight="1">
      <x:c r="A32" s="2" t="str">
        <x:v>traveler-50-flash-v3-20260911/extract</x:v>
      </x:c>
      <x:c r="B32" s="2" t="str">
        <x:v>Extracción de filtros</x:v>
      </x:c>
      <x:c r="C32" s="24" t="n">
        <x:v>50</x:v>
      </x:c>
      <x:c r="D32" s="24" t="n">
        <x:v>8111</x:v>
      </x:c>
      <x:c r="E32" s="24" t="n">
        <x:v>8115.34</x:v>
      </x:c>
      <x:c r="F32" s="24" t="n">
        <x:v>8120.1</x:v>
      </x:c>
      <x:c r="G32" s="24" t="n">
        <x:v>120.8</x:v>
      </x:c>
      <x:c r="H32" s="24" t="n">
        <x:v>208.66</x:v>
      </x:c>
      <x:c r="I32" s="24" t="n">
        <x:v>307</x:v>
      </x:c>
      <x:c r="J32" s="24" t="n">
        <x:v>0</x:v>
      </x:c>
      <x:c r="K32" s="24" t="n">
        <x:v>0</x:v>
      </x:c>
      <x:c r="L32" s="2"/>
      <x:c r="M32" s="2" t="str">
        <x:v>data/evaluations/traveler-50-flash-v3-20260911/report.json</x:v>
      </x:c>
    </x:row>
    <x:row r="33" ht="23" customHeight="1">
      <x:c r="A33" s="16" t="str">
        <x:v>traveler-50-flash-v3-20260911/orch_template</x:v>
      </x:c>
      <x:c r="B33" s="16" t="str">
        <x:v>Agente con plantilla</x:v>
      </x:c>
      <x:c r="C33" s="25" t="n">
        <x:v>25</x:v>
      </x:c>
      <x:c r="D33" s="25" t="n">
        <x:v>15211.800000000001</x:v>
      </x:c>
      <x:c r="E33" s="25" t="n">
        <x:v>36862.92</x:v>
      </x:c>
      <x:c r="F33" s="25" t="n">
        <x:v>56933</x:v>
      </x:c>
      <x:c r="G33" s="25" t="n">
        <x:v>87.4</x:v>
      </x:c>
      <x:c r="H33" s="25" t="n">
        <x:v>369.6</x:v>
      </x:c>
      <x:c r="I33" s="25" t="n">
        <x:v>766.2000000000003</x:v>
      </x:c>
      <x:c r="J33" s="25" t="n">
        <x:v>5723.4</x:v>
      </x:c>
      <x:c r="K33" s="25" t="n">
        <x:v>82.52</x:v>
      </x:c>
      <x:c r="L33" s="2"/>
      <x:c r="M33" s="2" t="str">
        <x:v>data/evaluations/traveler-50-flash-v3-20260911/report.json</x:v>
      </x:c>
    </x:row>
    <x:row r="34" ht="23" customHeight="1">
      <x:c r="A34" s="2" t="str">
        <x:v>traveler-50-flash-v3-20260911/orch_generated</x:v>
      </x:c>
      <x:c r="B34" s="2" t="str">
        <x:v>Agente con motivos IA</x:v>
      </x:c>
      <x:c r="C34" s="24" t="n">
        <x:v>25</x:v>
      </x:c>
      <x:c r="D34" s="24" t="n">
        <x:v>16778.6</x:v>
      </x:c>
      <x:c r="E34" s="24" t="n">
        <x:v>50233.56</x:v>
      </x:c>
      <x:c r="F34" s="24" t="n">
        <x:v>149834.40000000008</x:v>
      </x:c>
      <x:c r="G34" s="24" t="n">
        <x:v>154.6</x:v>
      </x:c>
      <x:c r="H34" s="24" t="n">
        <x:v>1134.16</x:v>
      </x:c>
      <x:c r="I34" s="24" t="n">
        <x:v>3087.8000000000006</x:v>
      </x:c>
      <x:c r="J34" s="24" t="n">
        <x:v>8993.56</x:v>
      </x:c>
      <x:c r="K34" s="24" t="n">
        <x:v>593.32</x:v>
      </x:c>
      <x:c r="L34" s="2"/>
      <x:c r="M34" s="2" t="str">
        <x:v>data/evaluations/traveler-50-flash-v3-20260911/report.json</x:v>
      </x:c>
    </x:row>
    <x:row r="35" ht="23" customHeight="1">
      <x:c r="A35" s="16" t="str">
        <x:v>traveler-50-flash-v3-20260911/judge_template</x:v>
      </x:c>
      <x:c r="B35" s="16" t="str">
        <x:v>Juez sobre plantilla</x:v>
      </x:c>
      <x:c r="C35" s="25" t="n">
        <x:v>25</x:v>
      </x:c>
      <x:c r="D35" s="25" t="n">
        <x:v>1626.2000000000007</x:v>
      </x:c>
      <x:c r="E35" s="25" t="n">
        <x:v>10003.64</x:v>
      </x:c>
      <x:c r="F35" s="25" t="n">
        <x:v>19380.8</x:v>
      </x:c>
      <x:c r="G35" s="25" t="n">
        <x:v>154</x:v>
      </x:c>
      <x:c r="H35" s="25" t="n">
        <x:v>557</x:v>
      </x:c>
      <x:c r="I35" s="25" t="n">
        <x:v>992.6000000000001</x:v>
      </x:c>
      <x:c r="J35" s="25" t="n">
        <x:v>1633.64</x:v>
      </x:c>
      <x:c r="K35" s="25" t="n">
        <x:v>0</x:v>
      </x:c>
      <x:c r="L35" s="2"/>
      <x:c r="M35" s="2" t="str">
        <x:v>data/evaluations/traveler-50-flash-v3-20260911/report.json</x:v>
      </x:c>
    </x:row>
    <x:row r="36" ht="23" customHeight="1">
      <x:c r="A36" s="2" t="str">
        <x:v>traveler-50-flash-v3-20260911/judge_generated</x:v>
      </x:c>
      <x:c r="B36" s="2" t="str">
        <x:v>Juez sobre motivos IA</x:v>
      </x:c>
      <x:c r="C36" s="24" t="n">
        <x:v>25</x:v>
      </x:c>
      <x:c r="D36" s="24" t="n">
        <x:v>1415.6000000000004</x:v>
      </x:c>
      <x:c r="E36" s="24" t="n">
        <x:v>10465.12</x:v>
      </x:c>
      <x:c r="F36" s="24" t="n">
        <x:v>21597</x:v>
      </x:c>
      <x:c r="G36" s="24" t="n">
        <x:v>168.2</x:v>
      </x:c>
      <x:c r="H36" s="24" t="n">
        <x:v>433.04</x:v>
      </x:c>
      <x:c r="I36" s="24" t="n">
        <x:v>771.0000000000002</x:v>
      </x:c>
      <x:c r="J36" s="24" t="n">
        <x:v>0</x:v>
      </x:c>
      <x:c r="K36" s="24" t="n">
        <x:v>0</x:v>
      </x:c>
      <x:c r="L36" s="2"/>
      <x:c r="M36" s="2" t="str">
        <x:v>data/evaluations/traveler-50-flash-v3-20260911/report.json</x:v>
      </x:c>
    </x:row>
    <x:row r="37" ht="23" customHeight="1">
      <x:c r="A37" s="16" t="str">
        <x:v>traveler-50-lite-v3-20260911/extract</x:v>
      </x:c>
      <x:c r="B37" s="16" t="str">
        <x:v>Extracción de filtros</x:v>
      </x:c>
      <x:c r="C37" s="25" t="n">
        <x:v>49</x:v>
      </x:c>
      <x:c r="D37" s="25" t="n">
        <x:v>8111</x:v>
      </x:c>
      <x:c r="E37" s="25" t="n">
        <x:v>8115.265306122449</x:v>
      </x:c>
      <x:c r="F37" s="25" t="n">
        <x:v>8120.2</x:v>
      </x:c>
      <x:c r="G37" s="25" t="n">
        <x:v>129.8</x:v>
      </x:c>
      <x:c r="H37" s="25" t="n">
        <x:v>242.0204081632653</x:v>
      </x:c>
      <x:c r="I37" s="25" t="n">
        <x:v>324.6</x:v>
      </x:c>
      <x:c r="J37" s="25" t="n">
        <x:v>0</x:v>
      </x:c>
      <x:c r="K37" s="25" t="n">
        <x:v>0</x:v>
      </x:c>
      <x:c r="L37" s="2"/>
      <x:c r="M37" s="2" t="str">
        <x:v>data/evaluations/traveler-50-lite-v3-20260911/report.json</x:v>
      </x:c>
    </x:row>
    <x:row r="38" ht="23" customHeight="1">
      <x:c r="A38" s="2" t="str">
        <x:v>traveler-50-lite-v3-20260911/orch_template</x:v>
      </x:c>
      <x:c r="B38" s="2" t="str">
        <x:v>Agente con plantilla</x:v>
      </x:c>
      <x:c r="C38" s="24" t="n">
        <x:v>25</x:v>
      </x:c>
      <x:c r="D38" s="24" t="n">
        <x:v>15211.800000000001</x:v>
      </x:c>
      <x:c r="E38" s="24" t="n">
        <x:v>21563.8</x:v>
      </x:c>
      <x:c r="F38" s="24" t="n">
        <x:v>32083.40000000002</x:v>
      </x:c>
      <x:c r="G38" s="24" t="n">
        <x:v>52.800000000000004</x:v>
      </x:c>
      <x:c r="H38" s="24" t="n">
        <x:v>369.48</x:v>
      </x:c>
      <x:c r="I38" s="24" t="n">
        <x:v>812</x:v>
      </x:c>
      <x:c r="J38" s="24" t="n">
        <x:v>0</x:v>
      </x:c>
      <x:c r="K38" s="24" t="n">
        <x:v>0</x:v>
      </x:c>
      <x:c r="L38" s="2"/>
      <x:c r="M38" s="2" t="str">
        <x:v>data/evaluations/traveler-50-lite-v3-20260911/report.json</x:v>
      </x:c>
    </x:row>
    <x:row r="39" ht="23" customHeight="1">
      <x:c r="A39" s="16" t="str">
        <x:v>traveler-50-lite-v3-20260911/orch_generated</x:v>
      </x:c>
      <x:c r="B39" s="16" t="str">
        <x:v>Agente con motivos IA</x:v>
      </x:c>
      <x:c r="C39" s="25" t="n">
        <x:v>24</x:v>
      </x:c>
      <x:c r="D39" s="25" t="n">
        <x:v>14829.1</x:v>
      </x:c>
      <x:c r="E39" s="25" t="n">
        <x:v>23031.583333333332</x:v>
      </x:c>
      <x:c r="F39" s="25" t="n">
        <x:v>33765.6</x:v>
      </x:c>
      <x:c r="G39" s="25" t="n">
        <x:v>53.300000000000004</x:v>
      </x:c>
      <x:c r="H39" s="25" t="n">
        <x:v>512.5</x:v>
      </x:c>
      <x:c r="I39" s="25" t="n">
        <x:v>898.4999999999999</x:v>
      </x:c>
      <x:c r="J39" s="25" t="n">
        <x:v>681.625</x:v>
      </x:c>
      <x:c r="K39" s="25" t="n">
        <x:v>0</x:v>
      </x:c>
      <x:c r="L39" s="2"/>
      <x:c r="M39" s="2" t="str">
        <x:v>data/evaluations/traveler-50-lite-v3-20260911/report.json</x:v>
      </x:c>
    </x:row>
    <x:row r="40" ht="23" customHeight="1">
      <x:c r="A40" s="2" t="str">
        <x:v>traveler-50-lite-v3-20260911/judge_template</x:v>
      </x:c>
      <x:c r="B40" s="2" t="str">
        <x:v>Juez sobre plantilla</x:v>
      </x:c>
      <x:c r="C40" s="24" t="n">
        <x:v>25</x:v>
      </x:c>
      <x:c r="D40" s="24" t="n">
        <x:v>1623.4000000000005</x:v>
      </x:c>
      <x:c r="E40" s="24" t="n">
        <x:v>9486.6</x:v>
      </x:c>
      <x:c r="F40" s="24" t="n">
        <x:v>19436.2</x:v>
      </x:c>
      <x:c r="G40" s="24" t="n">
        <x:v>162.20000000000002</x:v>
      </x:c>
      <x:c r="H40" s="24" t="n">
        <x:v>482.72</x:v>
      </x:c>
      <x:c r="I40" s="24" t="n">
        <x:v>908.8000000000001</x:v>
      </x:c>
      <x:c r="J40" s="24" t="n">
        <x:v>0</x:v>
      </x:c>
      <x:c r="K40" s="24" t="n">
        <x:v>0</x:v>
      </x:c>
      <x:c r="L40" s="2"/>
      <x:c r="M40" s="2" t="str">
        <x:v>data/evaluations/traveler-50-lite-v3-20260911/report.json</x:v>
      </x:c>
    </x:row>
    <x:row r="41" ht="23" customHeight="1">
      <x:c r="A41" s="16" t="str">
        <x:v>traveler-50-lite-v3-20260911/judge_generated</x:v>
      </x:c>
      <x:c r="B41" s="16" t="str">
        <x:v>Juez sobre motivos IA</x:v>
      </x:c>
      <x:c r="C41" s="25" t="n">
        <x:v>24</x:v>
      </x:c>
      <x:c r="D41" s="25" t="n">
        <x:v>1364.1000000000004</x:v>
      </x:c>
      <x:c r="E41" s="25" t="n">
        <x:v>10432.458333333334</x:v>
      </x:c>
      <x:c r="F41" s="25" t="n">
        <x:v>19007.1</x:v>
      </x:c>
      <x:c r="G41" s="25" t="n">
        <x:v>161.9</x:v>
      </x:c>
      <x:c r="H41" s="25" t="n">
        <x:v>542.625</x:v>
      </x:c>
      <x:c r="I41" s="25" t="n">
        <x:v>971.4</x:v>
      </x:c>
      <x:c r="J41" s="25" t="n">
        <x:v>0</x:v>
      </x:c>
      <x:c r="K41" s="25" t="n">
        <x:v>0</x:v>
      </x:c>
      <x:c r="L41" s="2"/>
      <x:c r="M41" s="2" t="str">
        <x:v>data/evaluations/traveler-50-lite-v3-20260911/report.json</x:v>
      </x:c>
    </x:row>
    <x:row r="42" ht="23" customHeight="1">
      <x:c r="A42" s="2" t="str">
        <x:v>traveler-8-flash-v5-20260911/extract</x:v>
      </x:c>
      <x:c r="B42" s="2" t="str">
        <x:v>Extracción de filtros</x:v>
      </x:c>
      <x:c r="C42" s="24" t="n">
        <x:v>8</x:v>
      </x:c>
      <x:c r="D42" s="24" t="n">
        <x:v>8111.7</x:v>
      </x:c>
      <x:c r="E42" s="24" t="n">
        <x:v>8115.625</x:v>
      </x:c>
      <x:c r="F42" s="24" t="n">
        <x:v>8119.1</x:v>
      </x:c>
      <x:c r="G42" s="24" t="n">
        <x:v>173.5</x:v>
      </x:c>
      <x:c r="H42" s="24" t="n">
        <x:v>236.625</x:v>
      </x:c>
      <x:c r="I42" s="24" t="n">
        <x:v>322.7</x:v>
      </x:c>
      <x:c r="J42" s="24" t="n">
        <x:v>0</x:v>
      </x:c>
      <x:c r="K42" s="24" t="n">
        <x:v>0</x:v>
      </x:c>
      <x:c r="L42" s="2"/>
      <x:c r="M42" s="2" t="str">
        <x:v>data/evaluations/traveler-8-flash-v5-20260911/report.json</x:v>
      </x:c>
    </x:row>
    <x:row r="43" ht="23" customHeight="1">
      <x:c r="A43" s="16" t="str">
        <x:v>traveler-8-flash-v5-20260911/orch_template</x:v>
      </x:c>
      <x:c r="B43" s="16" t="str">
        <x:v>Agente con plantilla</x:v>
      </x:c>
      <x:c r="C43" s="25" t="n">
        <x:v>4</x:v>
      </x:c>
      <x:c r="D43" s="25" t="n">
        <x:v>19336.1</x:v>
      </x:c>
      <x:c r="E43" s="25" t="n">
        <x:v>76718.5</x:v>
      </x:c>
      <x:c r="F43" s="25" t="n">
        <x:v>173058.10000000003</x:v>
      </x:c>
      <x:c r="G43" s="25" t="n">
        <x:v>275.3</x:v>
      </x:c>
      <x:c r="H43" s="25" t="n">
        <x:v>487.25</x:v>
      </x:c>
      <x:c r="I43" s="25" t="n">
        <x:v>745.8000000000001</x:v>
      </x:c>
      <x:c r="J43" s="25" t="n">
        <x:v>14321.5</x:v>
      </x:c>
      <x:c r="K43" s="25" t="n">
        <x:v>0</x:v>
      </x:c>
      <x:c r="L43" s="2"/>
      <x:c r="M43" s="2" t="str">
        <x:v>data/evaluations/traveler-8-flash-v5-20260911/report.json</x:v>
      </x:c>
    </x:row>
    <x:row r="44" ht="23" customHeight="1">
      <x:c r="A44" s="2" t="str">
        <x:v>traveler-8-flash-v5-20260911/orch_generated</x:v>
      </x:c>
      <x:c r="B44" s="2" t="str">
        <x:v>Agente con motivos IA</x:v>
      </x:c>
      <x:c r="C44" s="24" t="n">
        <x:v>4</x:v>
      </x:c>
      <x:c r="D44" s="24" t="n">
        <x:v>22606.1</x:v>
      </x:c>
      <x:c r="E44" s="24" t="n">
        <x:v>89938</x:v>
      </x:c>
      <x:c r="F44" s="24" t="n">
        <x:v>161549.5</x:v>
      </x:c>
      <x:c r="G44" s="24" t="n">
        <x:v>198.5</x:v>
      </x:c>
      <x:c r="H44" s="24" t="n">
        <x:v>588.75</x:v>
      </x:c>
      <x:c r="I44" s="24" t="n">
        <x:v>1036.4</x:v>
      </x:c>
      <x:c r="J44" s="24" t="n">
        <x:v>29653.5</x:v>
      </x:c>
      <x:c r="K44" s="24" t="n">
        <x:v>0</x:v>
      </x:c>
      <x:c r="L44" s="2"/>
      <x:c r="M44" s="2" t="str">
        <x:v>data/evaluations/traveler-8-flash-v5-20260911/report.json</x:v>
      </x:c>
    </x:row>
    <x:row r="45" ht="23" customHeight="1">
      <x:c r="A45" s="16" t="str">
        <x:v>traveler-8-flash-v5-20260911/judge_template</x:v>
      </x:c>
      <x:c r="B45" s="16" t="str">
        <x:v>Juez sobre plantilla</x:v>
      </x:c>
      <x:c r="C45" s="25" t="n">
        <x:v>4</x:v>
      </x:c>
      <x:c r="D45" s="25" t="n">
        <x:v>4369.4</x:v>
      </x:c>
      <x:c r="E45" s="25" t="n">
        <x:v>6600.75</x:v>
      </x:c>
      <x:c r="F45" s="25" t="n">
        <x:v>8401.1</x:v>
      </x:c>
      <x:c r="G45" s="25" t="n">
        <x:v>343.9</x:v>
      </x:c>
      <x:c r="H45" s="25" t="n">
        <x:v>498</x:v>
      </x:c>
      <x:c r="I45" s="25" t="n">
        <x:v>632.5</x:v>
      </x:c>
      <x:c r="J45" s="25" t="n">
        <x:v>1017.75</x:v>
      </x:c>
      <x:c r="K45" s="25" t="n">
        <x:v>0</x:v>
      </x:c>
      <x:c r="L45" s="2"/>
      <x:c r="M45" s="2" t="str">
        <x:v>data/evaluations/traveler-8-flash-v5-20260911/report.json</x:v>
      </x:c>
    </x:row>
    <x:row r="46" ht="23" customHeight="1">
      <x:c r="A46" s="2" t="str">
        <x:v>traveler-8-flash-v5-20260911/judge_generated</x:v>
      </x:c>
      <x:c r="B46" s="2" t="str">
        <x:v>Juez sobre motivos IA</x:v>
      </x:c>
      <x:c r="C46" s="24" t="n">
        <x:v>4</x:v>
      </x:c>
      <x:c r="D46" s="24" t="n">
        <x:v>1503.9</x:v>
      </x:c>
      <x:c r="E46" s="24" t="n">
        <x:v>4577.75</x:v>
      </x:c>
      <x:c r="F46" s="24" t="n">
        <x:v>7759.8</x:v>
      </x:c>
      <x:c r="G46" s="24" t="n">
        <x:v>182.8</x:v>
      </x:c>
      <x:c r="H46" s="24" t="n">
        <x:v>439</x:v>
      </x:c>
      <x:c r="I46" s="24" t="n">
        <x:v>730.8000000000001</x:v>
      </x:c>
      <x:c r="J46" s="24" t="n">
        <x:v>0</x:v>
      </x:c>
      <x:c r="K46" s="24" t="n">
        <x:v>0</x:v>
      </x:c>
      <x:c r="L46" s="2"/>
      <x:c r="M46" s="2" t="str">
        <x:v>data/evaluations/traveler-8-flash-v5-20260911/report.json</x:v>
      </x:c>
    </x:row>
    <x:row r="47" ht="23" customHeight="1">
      <x:c r="A47" s="16" t="str">
        <x:v>traveler-8-lite-v5-20260911/extract</x:v>
      </x:c>
      <x:c r="B47" s="16" t="str">
        <x:v>Extracción de filtros</x:v>
      </x:c>
      <x:c r="C47" s="25" t="n">
        <x:v>7</x:v>
      </x:c>
      <x:c r="D47" s="25" t="n">
        <x:v>8111.6</x:v>
      </x:c>
      <x:c r="E47" s="25" t="n">
        <x:v>8115.714285714285</x:v>
      </x:c>
      <x:c r="F47" s="25" t="n">
        <x:v>8119.8</x:v>
      </x:c>
      <x:c r="G47" s="25" t="n">
        <x:v>212.8</x:v>
      </x:c>
      <x:c r="H47" s="25" t="n">
        <x:v>251.14285714285714</x:v>
      </x:c>
      <x:c r="I47" s="25" t="n">
        <x:v>314</x:v>
      </x:c>
      <x:c r="J47" s="25" t="n">
        <x:v>0</x:v>
      </x:c>
      <x:c r="K47" s="25" t="n">
        <x:v>0</x:v>
      </x:c>
      <x:c r="L47" s="2"/>
      <x:c r="M47" s="2" t="str">
        <x:v>data/evaluations/traveler-8-lite-v5-20260911/report.json</x:v>
      </x:c>
    </x:row>
    <x:row r="48" ht="23" customHeight="1">
      <x:c r="A48" s="2" t="str">
        <x:v>traveler-8-lite-v5-20260911/orch_template</x:v>
      </x:c>
      <x:c r="B48" s="2" t="str">
        <x:v>Agente con plantilla</x:v>
      </x:c>
      <x:c r="C48" s="24" t="n">
        <x:v>3</x:v>
      </x:c>
      <x:c r="D48" s="24" t="n">
        <x:v>19215</x:v>
      </x:c>
      <x:c r="E48" s="24" t="n">
        <x:v>22444.333333333332</x:v>
      </x:c>
      <x:c r="F48" s="24" t="n">
        <x:v>24923.8</x:v>
      </x:c>
      <x:c r="G48" s="24" t="n">
        <x:v>133.6</x:v>
      </x:c>
      <x:c r="H48" s="24" t="n">
        <x:v>344.6666666666667</x:v>
      </x:c>
      <x:c r="I48" s="24" t="n">
        <x:v>576.8</x:v>
      </x:c>
      <x:c r="J48" s="24" t="n">
        <x:v>0</x:v>
      </x:c>
      <x:c r="K48" s="24" t="n">
        <x:v>0</x:v>
      </x:c>
      <x:c r="L48" s="2"/>
      <x:c r="M48" s="2" t="str">
        <x:v>data/evaluations/traveler-8-lite-v5-20260911/report.json</x:v>
      </x:c>
    </x:row>
    <x:row r="49" ht="23" customHeight="1">
      <x:c r="A49" s="16" t="str">
        <x:v>traveler-8-lite-v5-20260911/orch_generated</x:v>
      </x:c>
      <x:c r="B49" s="16" t="str">
        <x:v>Agente con motivos IA</x:v>
      </x:c>
      <x:c r="C49" s="25" t="n">
        <x:v>3</x:v>
      </x:c>
      <x:c r="D49" s="25" t="n">
        <x:v>15582.2</x:v>
      </x:c>
      <x:c r="E49" s="25" t="n">
        <x:v>22068.333333333332</x:v>
      </x:c>
      <x:c r="F49" s="25" t="n">
        <x:v>29767.800000000003</x:v>
      </x:c>
      <x:c r="G49" s="25" t="n">
        <x:v>80.4</x:v>
      </x:c>
      <x:c r="H49" s="25" t="n">
        <x:v>529</x:v>
      </x:c>
      <x:c r="I49" s="25" t="n">
        <x:v>1116.4</x:v>
      </x:c>
      <x:c r="J49" s="25" t="n">
        <x:v>0</x:v>
      </x:c>
      <x:c r="K49" s="25" t="n">
        <x:v>0</x:v>
      </x:c>
      <x:c r="L49" s="2"/>
      <x:c r="M49" s="2" t="str">
        <x:v>data/evaluations/traveler-8-lite-v5-20260911/report.json</x:v>
      </x:c>
    </x:row>
    <x:row r="50" ht="23" customHeight="1">
      <x:c r="A50" s="2" t="str">
        <x:v>traveler-8-lite-v5-20260911/judge_template</x:v>
      </x:c>
      <x:c r="B50" s="2" t="str">
        <x:v>Juez sobre plantilla</x:v>
      </x:c>
      <x:c r="C50" s="24" t="n">
        <x:v>3</x:v>
      </x:c>
      <x:c r="D50" s="24" t="n">
        <x:v>4112.6</x:v>
      </x:c>
      <x:c r="E50" s="24" t="n">
        <x:v>6566</x:v>
      </x:c>
      <x:c r="F50" s="24" t="n">
        <x:v>9179</x:v>
      </x:c>
      <x:c r="G50" s="24" t="n">
        <x:v>336.4</x:v>
      </x:c>
      <x:c r="H50" s="24" t="n">
        <x:v>498.3333333333333</x:v>
      </x:c>
      <x:c r="I50" s="24" t="n">
        <x:v>681.2</x:v>
      </x:c>
      <x:c r="J50" s="24" t="n">
        <x:v>0</x:v>
      </x:c>
      <x:c r="K50" s="24" t="n">
        <x:v>0</x:v>
      </x:c>
      <x:c r="L50" s="2"/>
      <x:c r="M50" s="2" t="str">
        <x:v>data/evaluations/traveler-8-lite-v5-20260911/report.json</x:v>
      </x:c>
    </x:row>
    <x:row r="51" ht="23" customHeight="1">
      <x:c r="A51" s="16" t="str">
        <x:v>traveler-8-lite-v5-20260911/judge_generated</x:v>
      </x:c>
      <x:c r="B51" s="16" t="str">
        <x:v>Juez sobre motivos IA</x:v>
      </x:c>
      <x:c r="C51" s="25" t="n">
        <x:v>3</x:v>
      </x:c>
      <x:c r="D51" s="25" t="n">
        <x:v>1318.6</x:v>
      </x:c>
      <x:c r="E51" s="25" t="n">
        <x:v>4605.666666666667</x:v>
      </x:c>
      <x:c r="F51" s="25" t="n">
        <x:v>8574.6</x:v>
      </x:c>
      <x:c r="G51" s="25" t="n">
        <x:v>177.2</x:v>
      </x:c>
      <x:c r="H51" s="25" t="n">
        <x:v>408.6666666666667</x:v>
      </x:c>
      <x:c r="I51" s="25" t="n">
        <x:v>697.2</x:v>
      </x:c>
      <x:c r="J51" s="25" t="n">
        <x:v>0</x:v>
      </x:c>
      <x:c r="K51" s="25" t="n">
        <x:v>0</x:v>
      </x:c>
      <x:c r="L51" s="2"/>
      <x:c r="M51" s="2" t="str">
        <x:v>data/evaluations/traveler-8-lite-v5-20260911/report.json</x:v>
      </x:c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46" customHeight="1">
      <x:c r="A55" s="15" t="str">
        <x:v>Muestra</x:v>
      </x:c>
      <x:c r="B55" s="15" t="str">
        <x:v>Modelo</x:v>
      </x:c>
      <x:c r="C55" s="15" t="str">
        <x:v>Consultas</x:v>
      </x:c>
      <x:c r="D55" s="15" t="str">
        <x:v>Completas</x:v>
      </x:c>
      <x:c r="E55" s="15" t="str">
        <x:v>Runs fallidos</x:v>
      </x:c>
      <x:c r="F55" s="15" t="str">
        <x:v>USD media histórica</x:v>
      </x:c>
      <x:c r="G55" s="15" t="str">
        <x:v>USD P10</x:v>
      </x:c>
      <x:c r="H55" s="15" t="str">
        <x:v>USD P90</x:v>
      </x:c>
      <x:c r="I55" s="15" t="str">
        <x:v>Input medio</x:v>
      </x:c>
      <x:c r="J55" s="15" t="str">
        <x:v>Output medio</x:v>
      </x:c>
      <x:c r="K55" s="15" t="str"/>
      <x:c r="L55" s="15" t="str"/>
      <x:c r="M55" s="15" t="str"/>
    </x:row>
    <x:row r="56" ht="23" customHeight="1">
      <x:c r="A56" s="2" t="str">
        <x:v>traveler-50-flash-v3-20260911</x:v>
      </x:c>
      <x:c r="B56" s="2" t="str">
        <x:v>gemini-3.8-flash</x:v>
      </x:c>
      <x:c r="C56" s="2" t="n">
        <x:v>50</x:v>
      </x:c>
      <x:c r="D56" s="2" t="n">
        <x:v>50</x:v>
      </x:c>
      <x:c r="E56" s="2" t="n">
        <x:v>0</x:v>
      </x:c>
      <x:c r="F56" s="28" t="n">
        <x:v>0.0463635653</x:v>
      </x:c>
      <x:c r="G56" s="28" t="n">
        <x:v>0.0246213</x:v>
      </x:c>
      <x:c r="H56" s="28" t="n">
        <x:v>0.06423040250000003</x:v>
      </x:c>
      <x:c r="I56" s="29" t="n">
        <x:v>61897.96</x:v>
      </x:c>
      <x:c r="J56" s="29" t="n">
        <x:v>1455.56</x:v>
      </x:c>
      <x:c r="K56" s="2"/>
      <x:c r="L56" s="2"/>
      <x:c r="M56" s="2"/>
    </x:row>
    <x:row r="57" ht="23" customHeight="1">
      <x:c r="A57" s="2" t="str">
        <x:v>traveler-50-lite-v3-20260911</x:v>
      </x:c>
      <x:c r="B57" s="2" t="str">
        <x:v>gemini-3.5-flash-lite</x:v>
      </x:c>
      <x:c r="C57" s="2" t="n">
        <x:v>50</x:v>
      </x:c>
      <x:c r="D57" s="2" t="n">
        <x:v>49</x:v>
      </x:c>
      <x:c r="E57" s="2" t="n">
        <x:v>1</x:v>
      </x:c>
      <x:c r="F57" s="28" t="n">
        <x:v>0.020115798775510202</x:v>
      </x:c>
      <x:c r="G57" s="28" t="n">
        <x:v>0.010719360000000002</x:v>
      </x:c>
      <x:c r="H57" s="28" t="n">
        <x:v>0.029231339999999998</x:v>
      </x:c>
      <x:c r="I57" s="29" t="n">
        <x:v>40347.857142857145</x:v>
      </x:c>
      <x:c r="J57" s="29" t="n">
        <x:v>1193.6122448979593</x:v>
      </x:c>
      <x:c r="K57" s="2"/>
      <x:c r="L57" s="2"/>
      <x:c r="M57" s="2"/>
    </x:row>
    <x:row r="58" ht="23" customHeight="1">
      <x:c r="A58" s="2" t="str">
        <x:v>traveler-12-flash-v4-20260911</x:v>
      </x:c>
      <x:c r="B58" s="2" t="str">
        <x:v>gemini-3.8-flash</x:v>
      </x:c>
      <x:c r="C58" s="2" t="n">
        <x:v>12</x:v>
      </x:c>
      <x:c r="D58" s="2" t="n">
        <x:v>12</x:v>
      </x:c>
      <x:c r="E58" s="2" t="n">
        <x:v>0</x:v>
      </x:c>
      <x:c r="F58" s="28" t="n">
        <x:v>0.05255042416666667</x:v>
      </x:c>
      <x:c r="G58" s="28" t="n">
        <x:v>0.025369124999999996</x:v>
      </x:c>
      <x:c r="H58" s="28" t="n">
        <x:v>0.08531385300000002</x:v>
      </x:c>
      <x:c r="I58" s="29" t="n">
        <x:v>76750.91666666667</x:v>
      </x:c>
      <x:c r="J58" s="29" t="n">
        <x:v>1545.5833333333333</x:v>
      </x:c>
      <x:c r="K58" s="2"/>
      <x:c r="L58" s="2"/>
      <x:c r="M58" s="2"/>
    </x:row>
    <x:row r="59" ht="23" customHeight="1">
      <x:c r="A59" s="2" t="str">
        <x:v>traveler-12-lite-v4-20260911</x:v>
      </x:c>
      <x:c r="B59" s="2" t="str">
        <x:v>gemini-3.5-flash-lite</x:v>
      </x:c>
      <x:c r="C59" s="2" t="n">
        <x:v>12</x:v>
      </x:c>
      <x:c r="D59" s="2" t="n">
        <x:v>10</x:v>
      </x:c>
      <x:c r="E59" s="2" t="n">
        <x:v>2</x:v>
      </x:c>
      <x:c r="F59" s="28" t="n">
        <x:v>0.01872315</x:v>
      </x:c>
      <x:c r="G59" s="28" t="n">
        <x:v>0.01136933</x:v>
      </x:c>
      <x:c r="H59" s="28" t="n">
        <x:v>0.028417069999999996</x:v>
      </x:c>
      <x:c r="I59" s="29" t="n">
        <x:v>40273.8</x:v>
      </x:c>
      <x:c r="J59" s="29" t="n">
        <x:v>1198.4</x:v>
      </x:c>
      <x:c r="K59" s="2"/>
      <x:c r="L59" s="2"/>
      <x:c r="M59" s="2"/>
    </x:row>
    <x:row r="60" ht="23" customHeight="1">
      <x:c r="A60" s="2" t="str">
        <x:v>traveler-8-flash-v5-20260911</x:v>
      </x:c>
      <x:c r="B60" s="2" t="str">
        <x:v>gemini-3.8-flash</x:v>
      </x:c>
      <x:c r="C60" s="2" t="n">
        <x:v>8</x:v>
      </x:c>
      <x:c r="D60" s="2" t="n">
        <x:v>8</x:v>
      </x:c>
      <x:c r="E60" s="2" t="n">
        <x:v>0</x:v>
      </x:c>
      <x:c r="F60" s="28" t="n">
        <x:v>0.062251749375</x:v>
      </x:c>
      <x:c r="G60" s="28" t="n">
        <x:v>0.0250683225</x:v>
      </x:c>
      <x:c r="H60" s="28" t="n">
        <x:v>0.11667267649999999</x:v>
      </x:c>
      <x:c r="I60" s="29" t="n">
        <x:v>97033.125</x:v>
      </x:c>
      <x:c r="J60" s="29" t="n">
        <x:v>1243.125</x:v>
      </x:c>
      <x:c r="K60" s="2"/>
      <x:c r="L60" s="2"/>
      <x:c r="M60" s="2"/>
    </x:row>
    <x:row r="61" ht="23" customHeight="1">
      <x:c r="A61" s="2" t="str">
        <x:v>traveler-8-lite-v5-20260911</x:v>
      </x:c>
      <x:c r="B61" s="2" t="str">
        <x:v>gemini-3.5-flash-lite</x:v>
      </x:c>
      <x:c r="C61" s="2" t="n">
        <x:v>8</x:v>
      </x:c>
      <x:c r="D61" s="2" t="n">
        <x:v>6</x:v>
      </x:c>
      <x:c r="E61" s="2" t="n">
        <x:v>2</x:v>
      </x:c>
      <x:c r="F61" s="28" t="n">
        <x:v>0.016727833333333334</x:v>
      </x:c>
      <x:c r="G61" s="28" t="n">
        <x:v>0.010570524999999999</x:v>
      </x:c>
      <x:c r="H61" s="28" t="n">
        <x:v>0.024424500000000002</x:v>
      </x:c>
      <x:c r="I61" s="29" t="n">
        <x:v>35957.666666666664</x:v>
      </x:c>
      <x:c r="J61" s="29" t="n">
        <x:v>1144</x:v>
      </x:c>
      <x:c r="K61" s="2"/>
      <x:c r="L61" s="2"/>
      <x:c r="M61" s="2"/>
    </x:row>
    <x:row r="62" ht="23" customHeight="1">
      <x:c r="A62" s="2" t="str">
        <x:v>browser-real-v6-20260911</x:v>
      </x:c>
      <x:c r="B62" s="2" t="str">
        <x:v>gemini-3.8-flash</x:v>
      </x:c>
      <x:c r="C62" s="2" t="n">
        <x:v>2</x:v>
      </x:c>
      <x:c r="D62" s="2" t="n">
        <x:v>2</x:v>
      </x:c>
      <x:c r="E62" s="2" t="str">
        <x:v>n.a.</x:v>
      </x:c>
      <x:c r="F62" s="28" t="n">
        <x:v>0.045063455</x:v>
      </x:c>
      <x:c r="G62" s="28" t="n">
        <x:v>0.040957291</x:v>
      </x:c>
      <x:c r="H62" s="28" t="n">
        <x:v>0.049169619</x:v>
      </x:c>
      <x:c r="I62" s="29" t="n">
        <x:v>54537</x:v>
      </x:c>
      <x:c r="J62" s="29" t="n">
        <x:v>1109.5</x:v>
      </x:c>
      <x:c r="K62" s="2"/>
      <x:c r="L62" s="2"/>
      <x:c r="M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23" customHeight="1">
      <x:c r="A65" s="2" t="str">
        <x:v>Histórico = modelos, precios y caché de cada run. Costes usa misma carga de tokens a tarifas nuevas y embedding configurable.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23" customHeight="1">
      <x:c r="A66" s="2" t="str">
        <x:v>Completas significa uso contable disponible y ejecución terminada; no demuestra recomendación correcta.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23" customHeight="1">
      <x:c r="A67" s="2" t="str">
        <x:v>Los fallos con uso parcial se conservan en evidence.json y no se convierten en facturas completas ni ceros.</x:v>
      </x:c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23" customHeight="1">
      <x:c r="A68" s="2" t="str">
        <x:v>Fuente del análisis: data/cost-analysis/20260915/evidence.json y evidence.md, con hashes SHA-256 de originales.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 ht="23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 ht="23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 ht="23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 ht="23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 ht="23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 ht="23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 ht="23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 ht="23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 ht="23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 ht="23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 ht="23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 ht="23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 ht="23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  <x:row r="151" ht="23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</x:row>
    <x:row r="152" ht="23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</x:row>
    <x:row r="155" ht="23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</x:row>
    <x:row r="156" ht="23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</x:row>
    <x:row r="157" ht="23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</x:row>
    <x:row r="159" ht="23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</x:row>
    <x:row r="160" ht="23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9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75" hidden="0" customWidth="1"/>
    <x:col min="7" max="7" width="3" hidden="0" customWidth="1"/>
    <x:col min="8" max="8" width="68" hidden="0" customWidth="1"/>
    <x:col min="9" max="9" width="1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Tarifas API verificadas · 15 septiembre 2026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2" t="str">
        <x:v>USD por millón de tokens. Standard; caché se documenta, pero no se aplica al presupuesto base.</x:v>
      </x:c>
      <x:c r="B4" s="2"/>
      <x:c r="C4" s="2"/>
      <x:c r="D4" s="2"/>
      <x:c r="E4" s="2"/>
      <x:c r="F4" s="2"/>
      <x:c r="G4" s="2"/>
      <x:c r="H4" s="2"/>
      <x:c r="I4" s="2"/>
    </x:row>
    <x:row r="5" ht="46" customHeight="1">
      <x:c r="A5" s="15" t="str">
        <x:v>Modelo / tarifa</x:v>
      </x:c>
      <x:c r="B5" s="15" t="str">
        <x:v>Entrada</x:v>
      </x:c>
      <x:c r="C5" s="15" t="str">
        <x:v>Salida</x:v>
      </x:c>
      <x:c r="D5" s="15" t="str">
        <x:v>Caché lectura</x:v>
      </x:c>
      <x:c r="E5" s="15" t="str">
        <x:v>Caché escritura</x:v>
      </x:c>
      <x:c r="F5" s="15" t="str">
        <x:v>Condición</x:v>
      </x:c>
      <x:c r="G5" s="23" t="str"/>
      <x:c r="H5" s="15" t="str">
        <x:v>Fuente oficial</x:v>
      </x:c>
      <x:c r="I5" s="15" t="str">
        <x:v>Consulta</x:v>
      </x:c>
    </x:row>
    <x:row r="6" ht="23" customHeight="1">
      <x:c r="A6" s="2" t="str">
        <x:v>Gemini 3.1 Flash-Lite</x:v>
      </x:c>
      <x:c r="B6" s="20" t="n">
        <x:v>0.25</x:v>
      </x:c>
      <x:c r="C6" s="20" t="n">
        <x:v>1.5</x:v>
      </x:c>
      <x:c r="D6" s="21" t="n">
        <x:v>0.025</x:v>
      </x:c>
      <x:c r="E6" s="21" t="str">
        <x:v>n.a.</x:v>
      </x:c>
      <x:c r="F6" s="2" t="str">
        <x:v>Standard, texto. Comparación de tarifa; sin eval propia en esta muestra.</x:v>
      </x:c>
      <x:c r="G6" s="2"/>
      <x:c r="H6" s="2" t="str">
        <x:v>https://ai.google.dev/gemini-api/docs/pricing</x:v>
      </x:c>
      <x:c r="I6" s="2" t="str">
        <x:v>2026-09-15</x:v>
      </x:c>
    </x:row>
    <x:row r="7" ht="23" customHeight="1">
      <x:c r="A7" s="16" t="str">
        <x:v>Gemini 3.5 Flash-Lite</x:v>
      </x:c>
      <x:c r="B7" s="20" t="n">
        <x:v>0.3</x:v>
      </x:c>
      <x:c r="C7" s="20" t="n">
        <x:v>2.5</x:v>
      </x:c>
      <x:c r="D7" s="22" t="n">
        <x:v>0.03</x:v>
      </x:c>
      <x:c r="E7" s="22" t="str">
        <x:v>n.a.</x:v>
      </x:c>
      <x:c r="F7" s="16" t="str">
        <x:v>Standard. Modelo medido; repricing con la carga seleccionada.</x:v>
      </x:c>
      <x:c r="G7" s="2"/>
      <x:c r="H7" s="2" t="str">
        <x:v>https://ai.google.dev/gemini-api/docs/pricing</x:v>
      </x:c>
      <x:c r="I7" s="2" t="str">
        <x:v>2026-09-15</x:v>
      </x:c>
    </x:row>
    <x:row r="8" ht="23" customHeight="1">
      <x:c r="A8" s="2" t="str">
        <x:v>Gemini 3.8 Flash (2026)</x:v>
      </x:c>
      <x:c r="B8" s="20" t="n">
        <x:v>0.75</x:v>
      </x:c>
      <x:c r="C8" s="20" t="n">
        <x:v>3.75</x:v>
      </x:c>
      <x:c r="D8" s="21" t="n">
        <x:v>0.075</x:v>
      </x:c>
      <x:c r="E8" s="21" t="str">
        <x:v>n.a.</x:v>
      </x:c>
      <x:c r="F8" s="2" t="str">
        <x:v>Standard promocional hasta 31-12-2026. Modelo medido.</x:v>
      </x:c>
      <x:c r="G8" s="2"/>
      <x:c r="H8" s="2" t="str">
        <x:v>https://ai.google.dev/gemini-api/docs/pricing</x:v>
      </x:c>
      <x:c r="I8" s="2" t="str">
        <x:v>2026-09-15</x:v>
      </x:c>
    </x:row>
    <x:row r="9" ht="23" customHeight="1">
      <x:c r="A9" s="16" t="str">
        <x:v>Gemini 3.8 Flash (2027)</x:v>
      </x:c>
      <x:c r="B9" s="20" t="n">
        <x:v>1.5</x:v>
      </x:c>
      <x:c r="C9" s="20" t="n">
        <x:v>7.5</x:v>
      </x:c>
      <x:c r="D9" s="22" t="n">
        <x:v>0.15</x:v>
      </x:c>
      <x:c r="E9" s="22" t="str">
        <x:v>n.a.</x:v>
      </x:c>
      <x:c r="F9" s="16" t="str">
        <x:v>Standard anunciado desde 01-01-2027. Misma carga de tokens.</x:v>
      </x:c>
      <x:c r="G9" s="2"/>
      <x:c r="H9" s="2" t="str">
        <x:v>https://ai.google.dev/gemini-api/docs/pricing</x:v>
      </x:c>
      <x:c r="I9" s="2" t="str">
        <x:v>2026-09-15</x:v>
      </x:c>
    </x:row>
    <x:row r="10" ht="23" customHeight="1">
      <x:c r="A10" s="2" t="str">
        <x:v>GPT-5.6 Luna</x:v>
      </x:c>
      <x:c r="B10" s="20" t="n">
        <x:v>0.2</x:v>
      </x:c>
      <x:c r="C10" s="20" t="n">
        <x:v>1.2</x:v>
      </x:c>
      <x:c r="D10" s="21" t="n">
        <x:v>0.02</x:v>
      </x:c>
      <x:c r="E10" s="21" t="n">
        <x:v>0.25</x:v>
      </x:c>
      <x:c r="F10" s="2" t="str">
        <x:v>Standard, hasta 272k de entrada/llamada. No evaluado en buscador.</x:v>
      </x:c>
      <x:c r="G10" s="2"/>
      <x:c r="H10" s="2" t="str">
        <x:v>https://developers.openai.com/api/docs/pricing</x:v>
      </x:c>
      <x:c r="I10" s="2" t="str">
        <x:v>2026-09-15</x:v>
      </x:c>
    </x:row>
    <x:row r="11" ht="23" customHeight="1">
      <x:c r="A11" s="16" t="str">
        <x:v>GPT-5.4 mini</x:v>
      </x:c>
      <x:c r="B11" s="20" t="n">
        <x:v>0.75</x:v>
      </x:c>
      <x:c r="C11" s="20" t="n">
        <x:v>4.5</x:v>
      </x:c>
      <x:c r="D11" s="22" t="n">
        <x:v>0.075</x:v>
      </x:c>
      <x:c r="E11" s="22" t="str">
        <x:v>n.a.</x:v>
      </x:c>
      <x:c r="F11" s="16" t="str">
        <x:v>Standard. No evaluado en buscador.</x:v>
      </x:c>
      <x:c r="G11" s="2"/>
      <x:c r="H11" s="2" t="str">
        <x:v>https://developers.openai.com/api/docs/pricing</x:v>
      </x:c>
      <x:c r="I11" s="2" t="str">
        <x:v>2026-09-15</x:v>
      </x:c>
    </x:row>
    <x:row r="12" ht="23" customHeight="1">
      <x:c r="A12" s="2" t="str">
        <x:v>GPT-5.6 Terra</x:v>
      </x:c>
      <x:c r="B12" s="20" t="n">
        <x:v>2</x:v>
      </x:c>
      <x:c r="C12" s="20" t="n">
        <x:v>12</x:v>
      </x:c>
      <x:c r="D12" s="21" t="n">
        <x:v>0.2</x:v>
      </x:c>
      <x:c r="E12" s="21" t="n">
        <x:v>2.5</x:v>
      </x:c>
      <x:c r="F12" s="2" t="str">
        <x:v>Standard, hasta 272k de entrada/llamada. No evaluado en buscador.</x:v>
      </x:c>
      <x:c r="G12" s="2"/>
      <x:c r="H12" s="2" t="str">
        <x:v>https://developers.openai.com/api/docs/pricing</x:v>
      </x:c>
      <x:c r="I12" s="2" t="str">
        <x:v>2026-09-15</x:v>
      </x:c>
    </x:row>
    <x:row r="13" ht="23" customHeight="1">
      <x:c r="A13" s="16" t="str">
        <x:v>Claude Haiku 4.5</x:v>
      </x:c>
      <x:c r="B13" s="20" t="n">
        <x:v>1</x:v>
      </x:c>
      <x:c r="C13" s="20" t="n">
        <x:v>5</x:v>
      </x:c>
      <x:c r="D13" s="22" t="n">
        <x:v>0.1</x:v>
      </x:c>
      <x:c r="E13" s="22" t="n">
        <x:v>1.25</x:v>
      </x:c>
      <x:c r="F13" s="16" t="str">
        <x:v>Standard global; escritura caché TTL 5 min. No evaluado.</x:v>
      </x:c>
      <x:c r="G13" s="2"/>
      <x:c r="H13" s="2" t="str">
        <x:v>https://claude.com/pricing</x:v>
      </x:c>
      <x:c r="I13" s="2" t="str">
        <x:v>2026-09-15</x:v>
      </x:c>
    </x:row>
    <x:row r="14" ht="23" customHeight="1">
      <x:c r="A14" s="2" t="str">
        <x:v>Claude Sonnet 5</x:v>
      </x:c>
      <x:c r="B14" s="20" t="n">
        <x:v>2</x:v>
      </x:c>
      <x:c r="C14" s="20" t="n">
        <x:v>10</x:v>
      </x:c>
      <x:c r="D14" s="21" t="n">
        <x:v>0.2</x:v>
      </x:c>
      <x:c r="E14" s="21" t="n">
        <x:v>2.5</x:v>
      </x:c>
      <x:c r="F14" s="2" t="str">
        <x:v>Standard global; escritura caché TTL 5 min. No evaluado.</x:v>
      </x:c>
      <x:c r="G14" s="2"/>
      <x:c r="H14" s="2" t="str">
        <x:v>https://claude.com/pricing</x:v>
      </x:c>
      <x:c r="I14" s="2" t="str">
        <x:v>2026-09-15</x:v>
      </x:c>
    </x:row>
    <x:row r="15" ht="23" customHeight="1">
      <x:c r="A15" s="16" t="str">
        <x:v>DeepSeek Flash (punta)</x:v>
      </x:c>
      <x:c r="B15" s="20" t="n">
        <x:v>0.3</x:v>
      </x:c>
      <x:c r="C15" s="20" t="n">
        <x:v>1.2</x:v>
      </x:c>
      <x:c r="D15" s="22" t="n">
        <x:v>0.006</x:v>
      </x:c>
      <x:c r="E15" s="22" t="str">
        <x:v>n.a.</x:v>
      </x:c>
      <x:c r="F15" s="16" t="str">
        <x:v>V4.1-Flash. Punta: L-V 01-04 y 06-10 UTC. No evaluado.</x:v>
      </x:c>
      <x:c r="G15" s="2"/>
      <x:c r="H15" s="2" t="str">
        <x:v>https://api-docs.deepseek.com/quick_start/pricing/</x:v>
      </x:c>
      <x:c r="I15" s="2" t="str">
        <x:v>2026-09-15</x:v>
      </x:c>
    </x:row>
    <x:row r="16" ht="23" customHeight="1">
      <x:c r="A16" s="2" t="str">
        <x:v>DeepSeek Flash (valle)</x:v>
      </x:c>
      <x:c r="B16" s="20" t="n">
        <x:v>0.15</x:v>
      </x:c>
      <x:c r="C16" s="20" t="n">
        <x:v>0.6</x:v>
      </x:c>
      <x:c r="D16" s="21" t="n">
        <x:v>0.003</x:v>
      </x:c>
      <x:c r="E16" s="21" t="str">
        <x:v>n.a.</x:v>
      </x:c>
      <x:c r="F16" s="2" t="str">
        <x:v>V4.1-Flash. Resto de horas UTC. No evaluado.</x:v>
      </x:c>
      <x:c r="G16" s="2"/>
      <x:c r="H16" s="2" t="str">
        <x:v>https://api-docs.deepseek.com/quick_start/pricing/</x:v>
      </x:c>
      <x:c r="I16" s="2" t="str">
        <x:v>2026-09-15</x:v>
      </x:c>
    </x:row>
    <x:row r="17" ht="23" customHeight="1">
      <x:c r="A17" s="16" t="str">
        <x:v>GLM-4.7-FlashX</x:v>
      </x:c>
      <x:c r="B17" s="20" t="n">
        <x:v>0.07</x:v>
      </x:c>
      <x:c r="C17" s="20" t="n">
        <x:v>0.4</x:v>
      </x:c>
      <x:c r="D17" s="22" t="n">
        <x:v>0.01</x:v>
      </x:c>
      <x:c r="E17" s="22" t="str">
        <x:v>n.a.</x:v>
      </x:c>
      <x:c r="F17" s="16" t="str">
        <x:v>Z.ai API directa en USD. No evaluado en buscador.</x:v>
      </x:c>
      <x:c r="G17" s="2"/>
      <x:c r="H17" s="2" t="str">
        <x:v>https://docs.z.ai/guides/overview/pricing</x:v>
      </x:c>
      <x:c r="I17" s="2" t="str">
        <x:v>2026-09-15</x:v>
      </x:c>
    </x:row>
    <x:row r="18" ht="23" customHeight="1">
      <x:c r="A18" s="2" t="str">
        <x:v>GLM-5.3-Flash</x:v>
      </x:c>
      <x:c r="B18" s="20" t="n">
        <x:v>0.15</x:v>
      </x:c>
      <x:c r="C18" s="20" t="n">
        <x:v>0.5</x:v>
      </x:c>
      <x:c r="D18" s="21" t="n">
        <x:v>0.03</x:v>
      </x:c>
      <x:c r="E18" s="21" t="str">
        <x:v>n.a.</x:v>
      </x:c>
      <x:c r="F18" s="2" t="str">
        <x:v>Z.ai API directa en USD. No evaluado en buscador.</x:v>
      </x:c>
      <x:c r="G18" s="2"/>
      <x:c r="H18" s="2" t="str">
        <x:v>https://docs.z.ai/guides/overview/pricing</x:v>
      </x:c>
      <x:c r="I18" s="2" t="str">
        <x:v>2026-09-15</x:v>
      </x:c>
    </x:row>
    <x:row r="19" ht="23" customHeight="1">
      <x:c r="A19" s="16" t="str">
        <x:v>GLM-5.3</x:v>
      </x:c>
      <x:c r="B19" s="20" t="n">
        <x:v>1.4</x:v>
      </x:c>
      <x:c r="C19" s="20" t="n">
        <x:v>4.4</x:v>
      </x:c>
      <x:c r="D19" s="22" t="n">
        <x:v>0.26</x:v>
      </x:c>
      <x:c r="E19" s="22" t="str">
        <x:v>n.a.</x:v>
      </x:c>
      <x:c r="F19" s="16" t="str">
        <x:v>Z.ai API directa en USD. No evaluado en buscador.</x:v>
      </x:c>
      <x:c r="G19" s="2"/>
      <x:c r="H19" s="2" t="str">
        <x:v>https://docs.z.ai/guides/overview/pricing</x:v>
      </x:c>
      <x:c r="I19" s="2" t="str">
        <x:v>2026-09-15</x:v>
      </x:c>
    </x:row>
    <x:row r="20" ht="23" customHeight="1">
      <x:c r="A20" s="2" t="str">
        <x:v>Qwen3.5 Flash (SG)</x:v>
      </x:c>
      <x:c r="B20" s="20" t="n">
        <x:v>0.1</x:v>
      </x:c>
      <x:c r="C20" s="20" t="n">
        <x:v>0.4</x:v>
      </x:c>
      <x:c r="D20" s="21" t="str">
        <x:v>n.a.</x:v>
      </x:c>
      <x:c r="E20" s="21" t="str">
        <x:v>n.a.</x:v>
      </x:c>
      <x:c r="F20" s="2" t="str">
        <x:v>Alibaba Singapore, International; ≤1M input/llamada. Sin cuota gratis.</x:v>
      </x:c>
      <x:c r="G20" s="2"/>
      <x:c r="H20" s="2" t="str">
        <x:v>https://www.alibabacloud.com/help/en/model-studio/model-pricing</x:v>
      </x:c>
      <x:c r="I20" s="2" t="str">
        <x:v>2026-09-15</x:v>
      </x:c>
    </x:row>
    <x:row r="21" ht="23" customHeight="1">
      <x:c r="A21" s="16" t="str">
        <x:v>Qwen3.8 Flash (SG)</x:v>
      </x:c>
      <x:c r="B21" s="20" t="n">
        <x:v>0.15</x:v>
      </x:c>
      <x:c r="C21" s="20" t="n">
        <x:v>0.47</x:v>
      </x:c>
      <x:c r="D21" s="22" t="str">
        <x:v>n.a.</x:v>
      </x:c>
      <x:c r="E21" s="22" t="str">
        <x:v>n.a.</x:v>
      </x:c>
      <x:c r="F21" s="16" t="str">
        <x:v>Alibaba Singapore, International; ≤1M input/llamada. No evaluado.</x:v>
      </x:c>
      <x:c r="G21" s="2"/>
      <x:c r="H21" s="2" t="str">
        <x:v>https://www.alibabacloud.com/help/en/model-studio/model-pricing</x:v>
      </x:c>
      <x:c r="I21" s="2" t="str">
        <x:v>2026-09-15</x:v>
      </x:c>
    </x:row>
    <x:row r="22" ht="23" customHeight="1">
      <x:c r="A22" s="2" t="str">
        <x:v>Qwen3.7 Plus (SG)</x:v>
      </x:c>
      <x:c r="B22" s="20" t="n">
        <x:v>0.4</x:v>
      </x:c>
      <x:c r="C22" s="20" t="n">
        <x:v>1.6</x:v>
      </x:c>
      <x:c r="D22" s="21" t="str">
        <x:v>n.a.</x:v>
      </x:c>
      <x:c r="E22" s="21" t="str">
        <x:v>n.a.</x:v>
      </x:c>
      <x:c r="F22" s="2" t="str">
        <x:v>Singapore; snapshot 2026-05-26, ≤256k. Sin promoción del alias.</x:v>
      </x:c>
      <x:c r="G22" s="2"/>
      <x:c r="H22" s="2" t="str">
        <x:v>https://www.alibabacloud.com/help/en/model-studio/model-pricing</x:v>
      </x:c>
      <x:c r="I22" s="2" t="str">
        <x:v>2026-09-15</x:v>
      </x:c>
    </x:row>
    <x:row r="23" ht="23" customHeight="1">
      <x:c r="A23" s="16" t="str">
        <x:v>Qwen3.8 Max (SG)</x:v>
      </x:c>
      <x:c r="B23" s="20" t="n">
        <x:v>2</x:v>
      </x:c>
      <x:c r="C23" s="20" t="n">
        <x:v>6</x:v>
      </x:c>
      <x:c r="D23" s="22" t="str">
        <x:v>n.a.</x:v>
      </x:c>
      <x:c r="E23" s="22" t="str">
        <x:v>n.a.</x:v>
      </x:c>
      <x:c r="F23" s="16" t="str">
        <x:v>Alibaba Singapore, International; ≤1M input/llamada. No evaluado.</x:v>
      </x:c>
      <x:c r="G23" s="2"/>
      <x:c r="H23" s="2" t="str">
        <x:v>https://www.alibabacloud.com/help/en/model-studio/model-pricing</x:v>
      </x:c>
      <x:c r="I23" s="2" t="str">
        <x:v>2026-09-15</x:v>
      </x:c>
    </x:row>
    <x:row r="24" ht="23" customHeight="1">
      <x:c r="A24" s="2" t="str">
        <x:v>MiniMax M3</x:v>
      </x:c>
      <x:c r="B24" s="20" t="n">
        <x:v>0.3</x:v>
      </x:c>
      <x:c r="C24" s="20" t="n">
        <x:v>1.2</x:v>
      </x:c>
      <x:c r="D24" s="21" t="n">
        <x:v>0.06</x:v>
      </x:c>
      <x:c r="E24" s="21" t="str">
        <x:v>n.a.</x:v>
      </x:c>
      <x:c r="F24" s="2" t="str">
        <x:v>Standard ≤512k input; descuento permanente 50% publicado. No evaluado.</x:v>
      </x:c>
      <x:c r="G24" s="2"/>
      <x:c r="H24" s="2" t="str">
        <x:v>https://platform.minimax.io/docs/guides/pricing-paygo</x:v>
      </x:c>
      <x:c r="I24" s="2" t="str">
        <x:v>2026-09-15</x:v>
      </x:c>
    </x:row>
    <x:row r="25" ht="23" customHeight="1">
      <x:c r="A25" s="16" t="str">
        <x:v>MiniMax M2.7</x:v>
      </x:c>
      <x:c r="B25" s="20" t="n">
        <x:v>0.3</x:v>
      </x:c>
      <x:c r="C25" s="20" t="n">
        <x:v>1.2</x:v>
      </x:c>
      <x:c r="D25" s="22" t="n">
        <x:v>0.06</x:v>
      </x:c>
      <x:c r="E25" s="22" t="n">
        <x:v>0.375</x:v>
      </x:c>
      <x:c r="F25" s="16" t="str">
        <x:v>API Standard. Sin highspeed ni Priority. No evaluado en buscador.</x:v>
      </x:c>
      <x:c r="G25" s="2"/>
      <x:c r="H25" s="2" t="str">
        <x:v>https://platform.minimax.io/docs/guides/pricing-paygo</x:v>
      </x:c>
      <x:c r="I25" s="2" t="str">
        <x:v>2026-09-15</x:v>
      </x:c>
    </x:row>
    <x:row r="26" ht="23" customHeight="1">
      <x:c r="A26" s="2" t="str">
        <x:v>Kimi K3</x:v>
      </x:c>
      <x:c r="B26" s="20" t="n">
        <x:v>3</x:v>
      </x:c>
      <x:c r="C26" s="20" t="n">
        <x:v>15</x:v>
      </x:c>
      <x:c r="D26" s="21" t="n">
        <x:v>0.3</x:v>
      </x:c>
      <x:c r="E26" s="21" t="str">
        <x:v>n.a.</x:v>
      </x:c>
      <x:c r="F26" s="2" t="str">
        <x:v>API oficial; tarifa publicada en anuncio K3. No evaluado en buscador.</x:v>
      </x:c>
      <x:c r="G26" s="2"/>
      <x:c r="H26" s="2" t="str">
        <x:v>https://www.kimi.com/en/blog/kimi-k3</x:v>
      </x:c>
      <x:c r="I26" s="2" t="str">
        <x:v>2026-09-15</x:v>
      </x:c>
    </x:row>
    <x:row r="27" ht="23" customHeight="1">
      <x:c r="A27" s="16" t="str">
        <x:v>DeepSeek V4 Pro (punta)</x:v>
      </x:c>
      <x:c r="B27" s="20" t="n">
        <x:v>1.32</x:v>
      </x:c>
      <x:c r="C27" s="20" t="n">
        <x:v>3.96</x:v>
      </x:c>
      <x:c r="D27" s="22" t="n">
        <x:v>0.044</x:v>
      </x:c>
      <x:c r="E27" s="22" t="str">
        <x:v>n.a.</x:v>
      </x:c>
      <x:c r="F27" s="16" t="str">
        <x:v>V4-Pro-0813. L-V 01-04 y 06-10 UTC. No evaluado en buscador.</x:v>
      </x:c>
      <x:c r="G27" s="2"/>
      <x:c r="H27" s="2" t="str">
        <x:v>https://api-docs.deepseek.com/quick_start/pricing/</x:v>
      </x:c>
      <x:c r="I27" s="2" t="str">
        <x:v>2026-09-15</x:v>
      </x:c>
    </x:row>
    <x:row r="28" ht="23" customHeight="1">
      <x:c r="A28" s="2" t="str">
        <x:v>DeepSeek V4 Pro (valle)</x:v>
      </x:c>
      <x:c r="B28" s="20" t="n">
        <x:v>0.66</x:v>
      </x:c>
      <x:c r="C28" s="20" t="n">
        <x:v>1.98</x:v>
      </x:c>
      <x:c r="D28" s="21" t="n">
        <x:v>0.022</x:v>
      </x:c>
      <x:c r="E28" s="21" t="str">
        <x:v>n.a.</x:v>
      </x:c>
      <x:c r="F28" s="2" t="str">
        <x:v>V4-Pro-0813. Resto de horas UTC. No evaluado en buscador.</x:v>
      </x:c>
      <x:c r="G28" s="2"/>
      <x:c r="H28" s="2" t="str">
        <x:v>https://api-docs.deepseek.com/quick_start/pricing/</x:v>
      </x:c>
      <x:c r="I28" s="2" t="str">
        <x:v>2026-09-15</x:v>
      </x:c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2" t="str">
        <x:v>text-embedding-3-small</x:v>
      </x:c>
      <x:c r="B31" s="20" t="n">
        <x:v>0.02</x:v>
      </x:c>
      <x:c r="C31" s="2"/>
      <x:c r="D31" s="2"/>
      <x:c r="E31" s="2"/>
      <x:c r="F31" s="2" t="str">
        <x:v>Embedding usado por el índice local. Reindexación no incluida.</x:v>
      </x:c>
      <x:c r="G31" s="2"/>
      <x:c r="H31" s="2" t="str">
        <x:v>https://developers.openai.com/api/docs/pricing</x:v>
      </x:c>
      <x:c r="I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 t="str">
        <x:v>Promoción Flash: tarifa 2026 hasta 31-12; fila 2027 aplica desde 01-01-2027.</x:v>
      </x:c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 t="str">
        <x:v>Caché informativa. n.a. = tarifa no detallada aquí; no significa cero. Qwen remite a sus reglas de caché.</x:v>
      </x:c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 t="str">
        <x:v>Sin cuotas gratuitas, Batch/Flex ni suscripciones de coding. SG = Singapore, despliegue International.</x:v>
      </x:c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</x:sheetData>
  <x:pageMargins left="0.7" right="0.7" top="0.75" bottom="0.75" header="0.3" footer="0.3"/>
</x:worksheet>
</file>